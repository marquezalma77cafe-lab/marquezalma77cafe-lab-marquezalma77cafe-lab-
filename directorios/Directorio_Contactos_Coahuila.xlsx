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ame" sheetId="1" state="visible" r:id="rId1"/>
    <sheet name="Directorio" sheetId="2" state="visible" r:id="rId2"/>
    <sheet name="Resumen" sheetId="3" state="visible" r:id="rId3"/>
    <sheet name="Pendientes" sheetId="4" state="visible" r:id="rId4"/>
  </sheets>
  <definedNames>
    <definedName name="_xlnm._FilterDatabase" localSheetId="1" hidden="1">'Directorio'!$A$1:$R$62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wrapText="1"/>
    </xf>
    <xf numFmtId="0" fontId="2" fillId="0" borderId="1" pivotButton="0" quotePrefix="0" xfId="0"/>
    <xf numFmtId="0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contacto@congresocoahuila.gob.mx" TargetMode="External" Id="rId1" /><Relationship Type="http://schemas.openxmlformats.org/officeDocument/2006/relationships/hyperlink" Target="https://www.congresocoahuila.gob.mx/portal/correo-electronico/" TargetMode="External" Id="rId2" /><Relationship Type="http://schemas.openxmlformats.org/officeDocument/2006/relationships/hyperlink" Target="mailto:webmaster@congresocoahuila.gob.mx" TargetMode="External" Id="rId3" /><Relationship Type="http://schemas.openxmlformats.org/officeDocument/2006/relationships/hyperlink" Target="https://www.congresocoahuila.gob.mx/portal/correo-electronico/" TargetMode="External" Id="rId4" /><Relationship Type="http://schemas.openxmlformats.org/officeDocument/2006/relationships/hyperlink" Target="https://www.congresocoahuila.gob.mx/coahuila/congreso.html" TargetMode="External" Id="rId5" /><Relationship Type="http://schemas.openxmlformats.org/officeDocument/2006/relationships/hyperlink" Target="https://www.congresocoahuila.gob.mx/portal/diputados/" TargetMode="External" Id="rId6" /><Relationship Type="http://schemas.openxmlformats.org/officeDocument/2006/relationships/hyperlink" Target="mailto:asecoahuila@asecoahuila.gob.mx" TargetMode="External" Id="rId7" /><Relationship Type="http://schemas.openxmlformats.org/officeDocument/2006/relationships/hyperlink" Target="https://www.asecoahuila.gob.mx/contacto/" TargetMode="External" Id="rId8" /><Relationship Type="http://schemas.openxmlformats.org/officeDocument/2006/relationships/hyperlink" Target="mailto:oficialiadepartes@iec.org.mx" TargetMode="External" Id="rId9" /><Relationship Type="http://schemas.openxmlformats.org/officeDocument/2006/relationships/hyperlink" Target="https://iec.org.mx/v1/" TargetMode="External" Id="rId10" /><Relationship Type="http://schemas.openxmlformats.org/officeDocument/2006/relationships/hyperlink" Target="https://www.tecz.org.mx/" TargetMode="External" Id="rId11" /><Relationship Type="http://schemas.openxmlformats.org/officeDocument/2006/relationships/hyperlink" Target="mailto:intrac@coahuila.gob.mx" TargetMode="External" Id="rId12" /><Relationship Type="http://schemas.openxmlformats.org/officeDocument/2006/relationships/hyperlink" Target="https://www.intrac.gob.mx/contactanos/" TargetMode="External" Id="rId13" /><Relationship Type="http://schemas.openxmlformats.org/officeDocument/2006/relationships/hyperlink" Target="mailto:visitadorgral@cdhec.org.mx" TargetMode="External" Id="rId14" /><Relationship Type="http://schemas.openxmlformats.org/officeDocument/2006/relationships/hyperlink" Target="https://cdhec.org.mx/v2/Sedes.html" TargetMode="External" Id="rId15" /><Relationship Type="http://schemas.openxmlformats.org/officeDocument/2006/relationships/hyperlink" Target="mailto:primeravisitaduria@cdhec.org.mx" TargetMode="External" Id="rId16" /><Relationship Type="http://schemas.openxmlformats.org/officeDocument/2006/relationships/hyperlink" Target="https://cdhec.org.mx/v2/Sedes.html" TargetMode="External" Id="rId17" /><Relationship Type="http://schemas.openxmlformats.org/officeDocument/2006/relationships/hyperlink" Target="mailto:torreon@cdhec.org.mx" TargetMode="External" Id="rId18" /><Relationship Type="http://schemas.openxmlformats.org/officeDocument/2006/relationships/hyperlink" Target="https://cdhec.org.mx/v2/Sedes.html" TargetMode="External" Id="rId19" /><Relationship Type="http://schemas.openxmlformats.org/officeDocument/2006/relationships/hyperlink" Target="https://coahuila.gob.mx/dependencias/index/SEGOB" TargetMode="External" Id="rId20" /><Relationship Type="http://schemas.openxmlformats.org/officeDocument/2006/relationships/hyperlink" Target="mailto:despacho.sec@coahuila.gob.mx" TargetMode="External" Id="rId21" /><Relationship Type="http://schemas.openxmlformats.org/officeDocument/2006/relationships/hyperlink" Target="https://www.seccoahuila.gob.mx/directorio.html" TargetMode="External" Id="rId22" /><Relationship Type="http://schemas.openxmlformats.org/officeDocument/2006/relationships/hyperlink" Target="mailto:instituto.judicial@pjecz.gob.mx" TargetMode="External" Id="rId23" /><Relationship Type="http://schemas.openxmlformats.org/officeDocument/2006/relationships/hyperlink" Target="https://www.pjecz.gob.mx/conocenos/estructura/tribunal-superior-de-justicia/organos-no-jurisdiccionales/instituto-de-especializacion-judicial/directorio/" TargetMode="External" Id="rId24" /><Relationship Type="http://schemas.openxmlformats.org/officeDocument/2006/relationships/hyperlink" Target="https://www.pjecz.gob.mx/" TargetMode="External" Id="rId25" /><Relationship Type="http://schemas.openxmlformats.org/officeDocument/2006/relationships/hyperlink" Target="https://tjacoahuila.org/contacto.html" TargetMode="External" Id="rId26" /><Relationship Type="http://schemas.openxmlformats.org/officeDocument/2006/relationships/hyperlink" Target="https://sitio.fgecoahuila.gob.mx/contact/" TargetMode="External" Id="rId27" /><Relationship Type="http://schemas.openxmlformats.org/officeDocument/2006/relationships/hyperlink" Target="mailto:policiacibernetica.fge@coahuila.gob.mx" TargetMode="External" Id="rId28" /><Relationship Type="http://schemas.openxmlformats.org/officeDocument/2006/relationships/hyperlink" Target="https://www.facebook.com/PoliciaCiberneticaCoahuila" TargetMode="External" Id="rId29" /><Relationship Type="http://schemas.openxmlformats.org/officeDocument/2006/relationships/hyperlink" Target="https://fgecoahuila.gob.mx/landing/delegaciones" TargetMode="External" Id="rId30" /><Relationship Type="http://schemas.openxmlformats.org/officeDocument/2006/relationships/hyperlink" Target="https://fgecoahuila.gob.mx/landing/delegaciones" TargetMode="External" Id="rId31" /><Relationship Type="http://schemas.openxmlformats.org/officeDocument/2006/relationships/hyperlink" Target="https://fgecoahuila.gob.mx/landing/delegaciones" TargetMode="External" Id="rId32" /><Relationship Type="http://schemas.openxmlformats.org/officeDocument/2006/relationships/hyperlink" Target="https://fgecoahuila.gob.mx/landing/delegaciones" TargetMode="External" Id="rId33" /><Relationship Type="http://schemas.openxmlformats.org/officeDocument/2006/relationships/hyperlink" Target="https://fgecoahuila.gob.mx/landing/delegaciones" TargetMode="External" Id="rId34" /><Relationship Type="http://schemas.openxmlformats.org/officeDocument/2006/relationships/hyperlink" Target="https://www.sspcoahuila.gob.mx/directorioSSP.html" TargetMode="External" Id="rId35" /><Relationship Type="http://schemas.openxmlformats.org/officeDocument/2006/relationships/hyperlink" Target="https://www.sspcoahuila.gob.mx/directorioSSP.html" TargetMode="External" Id="rId36" /><Relationship Type="http://schemas.openxmlformats.org/officeDocument/2006/relationships/hyperlink" Target="mailto:policiacibernetica.ssp@coahuila.gob.mx" TargetMode="External" Id="rId37" /><Relationship Type="http://schemas.openxmlformats.org/officeDocument/2006/relationships/hyperlink" Target="https://www.facebook.com/PoliciaCiberneticaCoahuila" TargetMode="External" Id="rId38" /><Relationship Type="http://schemas.openxmlformats.org/officeDocument/2006/relationships/hyperlink" Target="https://www.sspcoahuila.gob.mx/directorioSSP.html" TargetMode="External" Id="rId39" /><Relationship Type="http://schemas.openxmlformats.org/officeDocument/2006/relationships/hyperlink" Target="http://www.secespcoahuila.gob.mx/" TargetMode="External" Id="rId40" /><Relationship Type="http://schemas.openxmlformats.org/officeDocument/2006/relationships/hyperlink" Target="mailto:usc.direccion2021@gmail.com" TargetMode="External" Id="rId41" /><Relationship Type="http://schemas.openxmlformats.org/officeDocument/2006/relationships/hyperlink" Target="https://sic.cultura.gob.mx/ficha.php?table=universidad&amp;table_id=3256" TargetMode="External" Id="rId42" /><Relationship Type="http://schemas.openxmlformats.org/officeDocument/2006/relationships/hyperlink" Target="https://www.elsiglodetorreon.com.mx/noticia/2025/iniciaran-academias-de-policia-en-todo-coahuila.html" TargetMode="External" Id="rId43" /><Relationship Type="http://schemas.openxmlformats.org/officeDocument/2006/relationships/hyperlink" Target="https://www.comisariadeseguridadsaltillo.gob.mx/contacto" TargetMode="External" Id="rId44" /><Relationship Type="http://schemas.openxmlformats.org/officeDocument/2006/relationships/hyperlink" Target="http://policia.torreon.gob.mx/" TargetMode="External" Id="rId45" /><Relationship Type="http://schemas.openxmlformats.org/officeDocument/2006/relationships/hyperlink" Target="mailto:buzon@sma.gob.mx" TargetMode="External" Id="rId46" /><Relationship Type="http://schemas.openxmlformats.org/officeDocument/2006/relationships/hyperlink" Target="https://sma.gob.mx/" TargetMode="External" Id="rId47" /><Relationship Type="http://schemas.openxmlformats.org/officeDocument/2006/relationships/hyperlink" Target="mailto:olga.rumayor@coahuila.gob.mx" TargetMode="External" Id="rId48" /><Relationship Type="http://schemas.openxmlformats.org/officeDocument/2006/relationships/hyperlink" Target="https://sma.gob.mx/wp-content/uploads/2026/06/IIIDIRECTORIO-JUNIO.pdf" TargetMode="External" Id="rId49" /><Relationship Type="http://schemas.openxmlformats.org/officeDocument/2006/relationships/hyperlink" Target="mailto:santiago.barrios@coahuila.gob.mx" TargetMode="External" Id="rId50" /><Relationship Type="http://schemas.openxmlformats.org/officeDocument/2006/relationships/hyperlink" Target="https://sma.gob.mx/wp-content/uploads/2026/06/IIIDIRECTORIO-JUNIO.pdf" TargetMode="External" Id="rId51" /><Relationship Type="http://schemas.openxmlformats.org/officeDocument/2006/relationships/hyperlink" Target="https://mexicoindustry.com/empresa/procuraduria-de-proteccion-al-ambiente-del-estado-de-coahuila" TargetMode="External" Id="rId52" /><Relationship Type="http://schemas.openxmlformats.org/officeDocument/2006/relationships/hyperlink" Target="mailto:raul.araiza@profepa.gob.mx" TargetMode="External" Id="rId53" /><Relationship Type="http://schemas.openxmlformats.org/officeDocument/2006/relationships/hyperlink" Target="https://ventanillaunica.economia.gob.mx/media/Directorio%20oficinas%20de%20representaci%C3%B3n%20PROFEPA.pdf" TargetMode="External" Id="rId54" /><Relationship Type="http://schemas.openxmlformats.org/officeDocument/2006/relationships/hyperlink" Target="mailto:contacto.ciudadano@semarnat.gob.mx" TargetMode="External" Id="rId55" /><Relationship Type="http://schemas.openxmlformats.org/officeDocument/2006/relationships/hyperlink" Target="https://www.gob.mx/semarnat/acciones-y-programas/directorio-semarnat" TargetMode="External" Id="rId56" /><Relationship Type="http://schemas.openxmlformats.org/officeDocument/2006/relationships/hyperlink" Target="https://pnt.conagua.gob.mx/pnt/sgih-gdr/RO/Directorio_UR.pdf" TargetMode="External" Id="rId57" /><Relationship Type="http://schemas.openxmlformats.org/officeDocument/2006/relationships/hyperlink" Target="mailto:cienegas@conanp.gob.mx" TargetMode="External" Id="rId58" /><Relationship Type="http://schemas.openxmlformats.org/officeDocument/2006/relationships/hyperlink" Target="https://www.conanp.gob.mx/anp/consulta/anps.pdf" TargetMode="External" Id="rId59" /><Relationship Type="http://schemas.openxmlformats.org/officeDocument/2006/relationships/hyperlink" Target="mailto:medioambiente@saltillo.gob.mx" TargetMode="External" Id="rId60" /><Relationship Type="http://schemas.openxmlformats.org/officeDocument/2006/relationships/hyperlink" Target="https://saltillo.gob.mx/dependencias/medio-ambiente-y-desarrollo-sustentable/" TargetMode="External" Id="rId61" /><Relationship Type="http://schemas.openxmlformats.org/officeDocument/2006/relationships/hyperlink" Target="mailto:medioambientetorreon@gmail.com" TargetMode="External" Id="rId62" /><Relationship Type="http://schemas.openxmlformats.org/officeDocument/2006/relationships/hyperlink" Target="https://www.torreon.gob.mx/medioambiente/vigilancia.html" TargetMode="External" Id="rId63" /><Relationship Type="http://schemas.openxmlformats.org/officeDocument/2006/relationships/hyperlink" Target="https://www.aguasdesaltillo.com/contacto/" TargetMode="External" Id="rId64" /><Relationship Type="http://schemas.openxmlformats.org/officeDocument/2006/relationships/hyperlink" Target="https://www.simastorreon.gob.mx/simas.php" TargetMode="External" Id="rId65" /><Relationship Type="http://schemas.openxmlformats.org/officeDocument/2006/relationships/hyperlink" Target="https://saltillo.gob.mx/dependencias/atencion-ciudadana/" TargetMode="External" Id="rId66" /><Relationship Type="http://schemas.openxmlformats.org/officeDocument/2006/relationships/hyperlink" Target="https://www.torreon.gob.mx/" TargetMode="External" Id="rId67" /><Relationship Type="http://schemas.openxmlformats.org/officeDocument/2006/relationships/hyperlink" Target="mailto:contacto@monclova.gob.mx" TargetMode="External" Id="rId68" /><Relationship Type="http://schemas.openxmlformats.org/officeDocument/2006/relationships/hyperlink" Target="https://sitio.monclova.gob.mx/contacto/" TargetMode="External" Id="rId69" /><Relationship Type="http://schemas.openxmlformats.org/officeDocument/2006/relationships/hyperlink" Target="https://piedrasnegras.gob.mx/directorio/directores" TargetMode="External" Id="rId70" /><Relationship Type="http://schemas.openxmlformats.org/officeDocument/2006/relationships/hyperlink" Target="https://acuna.gob.mx/gobierno/directorio/" TargetMode="External" Id="rId71" /><Relationship Type="http://schemas.openxmlformats.org/officeDocument/2006/relationships/hyperlink" Target="https://gobiernoramosarizpe.gob.mx/contact.html" TargetMode="External" Id="rId72" /><Relationship Type="http://schemas.openxmlformats.org/officeDocument/2006/relationships/hyperlink" Target="https://www.canacintra-saltillo.org.mx/" TargetMode="External" Id="rId73" /><Relationship Type="http://schemas.openxmlformats.org/officeDocument/2006/relationships/hyperlink" Target="mailto:gerencia@canacintratorreon.org" TargetMode="External" Id="rId74" /><Relationship Type="http://schemas.openxmlformats.org/officeDocument/2006/relationships/hyperlink" Target="https://canacintratrc.com/socios" TargetMode="External" Id="rId75" /><Relationship Type="http://schemas.openxmlformats.org/officeDocument/2006/relationships/hyperlink" Target="mailto:direccion@coparmexcoahuila.org.mx" TargetMode="External" Id="rId76" /><Relationship Type="http://schemas.openxmlformats.org/officeDocument/2006/relationships/hyperlink" Target="https://coparmexcoahuila.org.mx/" TargetMode="External" Id="rId77" /><Relationship Type="http://schemas.openxmlformats.org/officeDocument/2006/relationships/hyperlink" Target="https://www.coparmexlaguna.org.mx/contactus" TargetMode="External" Id="rId78" /><Relationship Type="http://schemas.openxmlformats.org/officeDocument/2006/relationships/hyperlink" Target="mailto:direccion@canacosaltillo.com.mx" TargetMode="External" Id="rId79" /><Relationship Type="http://schemas.openxmlformats.org/officeDocument/2006/relationships/hyperlink" Target="https://concanaco.digital/canacosaltillo/" TargetMode="External" Id="rId80" /><Relationship Type="http://schemas.openxmlformats.org/officeDocument/2006/relationships/hyperlink" Target="mailto:contacto@canacotorreon.com.mx" TargetMode="External" Id="rId81" /><Relationship Type="http://schemas.openxmlformats.org/officeDocument/2006/relationships/hyperlink" Target="https://servercreactivo.com/Clientes/Canaco-Nuevo/contact.html" TargetMode="External" Id="rId82" /><Relationship Type="http://schemas.openxmlformats.org/officeDocument/2006/relationships/hyperlink" Target="https://cmic.org/directorio-institucional/" TargetMode="External" Id="rId83" /><Relationship Type="http://schemas.openxmlformats.org/officeDocument/2006/relationships/hyperlink" Target="mailto:comunicacion@ciac.mx" TargetMode="External" Id="rId84" /><Relationship Type="http://schemas.openxmlformats.org/officeDocument/2006/relationships/hyperlink" Target="https://ciac.mx/" TargetMode="External" Id="rId85" /><Relationship Type="http://schemas.openxmlformats.org/officeDocument/2006/relationships/hyperlink" Target="mailto:contacto@clusterenergia.org" TargetMode="External" Id="rId86" /><Relationship Type="http://schemas.openxmlformats.org/officeDocument/2006/relationships/hyperlink" Target="https://mexicoindustry.com/empresa/cluster-de-energia-coahuila-ac" TargetMode="External" Id="rId87" /><Relationship Type="http://schemas.openxmlformats.org/officeDocument/2006/relationships/hyperlink" Target="mailto:cpi.jurisprudencia@uadec.edu.mx" TargetMode="External" Id="rId88" /><Relationship Type="http://schemas.openxmlformats.org/officeDocument/2006/relationships/hyperlink" Target="https://www.uadec.mx/jurisprudencia/" TargetMode="External" Id="rId89" /><Relationship Type="http://schemas.openxmlformats.org/officeDocument/2006/relationships/hyperlink" Target="mailto:facultadderecho.uadec@hotmail.com" TargetMode="External" Id="rId90" /><Relationship Type="http://schemas.openxmlformats.org/officeDocument/2006/relationships/hyperlink" Target="https://mexico.justia.com/recursos/escuelas/coahuila/uadec-torreon-facultad-de-derecho/" TargetMode="External" Id="rId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Directorio de contactos institucionales – Coahuila</t>
        </is>
      </c>
    </row>
    <row r="2">
      <c r="A2" s="2" t="inlineStr">
        <is>
          <t>Para la oferta de cursos de Derecho Parlamentario y de la Maestría en Derecho Ambiental, Tecnologías Emergentes y Seguridad Pública (DATESP).</t>
        </is>
      </c>
    </row>
    <row r="3">
      <c r="A3" s="2" t="inlineStr">
        <is>
          <t>Fecha de integración: 30 de septiembre de 2026.</t>
        </is>
      </c>
    </row>
    <row r="4">
      <c r="A4" s="2" t="inlineStr"/>
    </row>
    <row r="5">
      <c r="A5" s="3" t="inlineStr">
        <is>
          <t>Cómo usar este archivo</t>
        </is>
      </c>
    </row>
    <row r="6">
      <c r="A6" s="2" t="inlineStr">
        <is>
          <t>• Hoja 'Directorio': todos los contactos. Usa los filtros de cada columna (Programa, Segmento, Prioridad, Ciudad…).</t>
        </is>
      </c>
    </row>
    <row r="7">
      <c r="A7" s="2" t="inlineStr">
        <is>
          <t>• Hoja 'Resumen': conteo de contactos por segmento y programa (se actualiza solo).</t>
        </is>
      </c>
    </row>
    <row r="8">
      <c r="A8" s="2" t="inlineStr">
        <is>
          <t>• Hoja 'Pendientes': contactos que faltan por conseguir y dónde buscarlos.</t>
        </is>
      </c>
    </row>
    <row r="9">
      <c r="A9" s="2" t="inlineStr">
        <is>
          <t>• Columnas en amarillo (Estatus de contacto, Fecha, Respuesta): llénalas tú al dar seguimiento.</t>
        </is>
      </c>
    </row>
    <row r="10">
      <c r="A10" s="2" t="inlineStr"/>
    </row>
    <row r="11">
      <c r="A11" s="3" t="inlineStr">
        <is>
          <t>Nivel de confianza</t>
        </is>
      </c>
    </row>
    <row r="12">
      <c r="A12" s="2" t="inlineStr">
        <is>
          <t>Alta: dato publicado en el sitio oficial de la institución.</t>
        </is>
      </c>
    </row>
    <row r="13">
      <c r="A13" s="2" t="inlineStr">
        <is>
          <t>Media: dato de directorios oficiales antiguos o de terceros; confirmar por teléfono antes de enviar.</t>
        </is>
      </c>
    </row>
    <row r="14">
      <c r="A14" s="2" t="inlineStr">
        <is>
          <t>Baja: correo personal/genérico (Gmail, Hotmail) o dato sin fuente oficial; verificar siempre.</t>
        </is>
      </c>
    </row>
    <row r="15">
      <c r="A15" s="2" t="inlineStr"/>
    </row>
    <row r="16">
      <c r="A16" s="3" t="inlineStr">
        <is>
          <t>Importante</t>
        </is>
      </c>
    </row>
    <row r="17">
      <c r="A17" s="2" t="inlineStr">
        <is>
          <t>• Solo se incluyen datos institucionales públicos. Los titulares cambian con frecuencia (la nueva legislatura entra en enero de 2027).</t>
        </is>
      </c>
    </row>
    <row r="18">
      <c r="A18" s="2" t="inlineStr">
        <is>
          <t>• En cada correo identifica a la institución que lo envía y ofrece una forma sencilla de darse de baja.</t>
        </is>
      </c>
    </row>
    <row r="19">
      <c r="A19" s="2" t="inlineStr">
        <is>
          <t>• Recomendación: envía un oficio a la unidad de capacitación con copia al titular y ofrece un convenio o una beca grupal.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0" customWidth="1" min="4" max="4"/>
    <col width="40" customWidth="1" min="5" max="5"/>
    <col width="32" customWidth="1" min="6" max="6"/>
    <col width="26" customWidth="1" min="7" max="7"/>
    <col width="18" customWidth="1" min="8" max="8"/>
    <col width="36" customWidth="1" min="9" max="9"/>
    <col width="30" customWidth="1" min="10" max="10"/>
    <col width="15" customWidth="1" min="11" max="11"/>
    <col width="44" customWidth="1" min="12" max="12"/>
    <col width="40" customWidth="1" min="13" max="13"/>
    <col width="11" customWidth="1" min="14" max="14"/>
    <col width="50" customWidth="1" min="15" max="15"/>
    <col width="18" customWidth="1" min="16" max="16"/>
    <col width="15" customWidth="1" min="17" max="17"/>
    <col width="30" customWidth="1" min="18" max="18"/>
  </cols>
  <sheetData>
    <row r="1" ht="32" customHeight="1">
      <c r="A1" s="4" t="inlineStr">
        <is>
          <t>#</t>
        </is>
      </c>
      <c r="B1" s="4" t="inlineStr">
        <is>
          <t>Programa</t>
        </is>
      </c>
      <c r="C1" s="4" t="inlineStr">
        <is>
          <t>Segmento</t>
        </is>
      </c>
      <c r="D1" s="4" t="inlineStr">
        <is>
          <t>Prioridad</t>
        </is>
      </c>
      <c r="E1" s="4" t="inlineStr">
        <is>
          <t>Institución</t>
        </is>
      </c>
      <c r="F1" s="4" t="inlineStr">
        <is>
          <t>Área</t>
        </is>
      </c>
      <c r="G1" s="4" t="inlineStr">
        <is>
          <t>Titular</t>
        </is>
      </c>
      <c r="H1" s="4" t="inlineStr">
        <is>
          <t>Cargo</t>
        </is>
      </c>
      <c r="I1" s="4" t="inlineStr">
        <is>
          <t>Correo electrónico</t>
        </is>
      </c>
      <c r="J1" s="4" t="inlineStr">
        <is>
          <t>Teléfono</t>
        </is>
      </c>
      <c r="K1" s="4" t="inlineStr">
        <is>
          <t>Ciudad</t>
        </is>
      </c>
      <c r="L1" s="4" t="inlineStr">
        <is>
          <t>Dirección</t>
        </is>
      </c>
      <c r="M1" s="4" t="inlineStr">
        <is>
          <t>Fuente (URL)</t>
        </is>
      </c>
      <c r="N1" s="4" t="inlineStr">
        <is>
          <t>Confianza</t>
        </is>
      </c>
      <c r="O1" s="4" t="inlineStr">
        <is>
          <t>Notas</t>
        </is>
      </c>
      <c r="P1" s="4" t="inlineStr">
        <is>
          <t>Estatus de contacto</t>
        </is>
      </c>
      <c r="Q1" s="4" t="inlineStr">
        <is>
          <t>Fecha de contacto</t>
        </is>
      </c>
      <c r="R1" s="4" t="inlineStr">
        <is>
          <t>Respuesta / seguimiento</t>
        </is>
      </c>
    </row>
    <row r="2">
      <c r="A2" s="5" t="n">
        <v>1</v>
      </c>
      <c r="B2" s="5" t="inlineStr">
        <is>
          <t>Ambos</t>
        </is>
      </c>
      <c r="C2" s="5" t="inlineStr">
        <is>
          <t>Legislativo</t>
        </is>
      </c>
      <c r="D2" s="5" t="inlineStr">
        <is>
          <t>Alta</t>
        </is>
      </c>
      <c r="E2" s="5" t="inlineStr">
        <is>
          <t>Congreso del Estado de Coahuila</t>
        </is>
      </c>
      <c r="F2" s="5" t="inlineStr">
        <is>
          <t>Contacto general</t>
        </is>
      </c>
      <c r="G2" s="5" t="inlineStr"/>
      <c r="H2" s="5" t="inlineStr"/>
      <c r="I2" s="6" t="inlineStr">
        <is>
          <t>contacto@congresocoahuila.gob.mx</t>
        </is>
      </c>
      <c r="J2" s="5" t="inlineStr">
        <is>
          <t>(844) 242 11 00</t>
        </is>
      </c>
      <c r="K2" s="5" t="inlineStr">
        <is>
          <t>Saltillo</t>
        </is>
      </c>
      <c r="L2" s="5" t="inlineStr">
        <is>
          <t>Blvd. Francisco Coss s/n esq. Obregón, Zona Centro, C.P. 25000</t>
        </is>
      </c>
      <c r="M2" s="6" t="inlineStr">
        <is>
          <t>https://www.congresocoahuila.gob.mx/portal/correo-electronico/</t>
        </is>
      </c>
      <c r="N2" s="5" t="inlineStr">
        <is>
          <t>Alta</t>
        </is>
      </c>
      <c r="O2" s="5" t="inlineStr">
        <is>
          <t>LXIII Legislatura termina 31/12/2026; en 2027 entra la nueva. Pedir directorio de diputados electos.</t>
        </is>
      </c>
      <c r="P2" s="7" t="inlineStr"/>
      <c r="Q2" s="7" t="inlineStr"/>
      <c r="R2" s="7" t="inlineStr"/>
    </row>
    <row r="3">
      <c r="A3" s="5" t="n">
        <v>2</v>
      </c>
      <c r="B3" s="5" t="inlineStr">
        <is>
          <t>Derecho Parlamentario</t>
        </is>
      </c>
      <c r="C3" s="5" t="inlineStr">
        <is>
          <t>Legislativo</t>
        </is>
      </c>
      <c r="D3" s="5" t="inlineStr">
        <is>
          <t>Alta</t>
        </is>
      </c>
      <c r="E3" s="5" t="inlineStr">
        <is>
          <t>Congreso del Estado de Coahuila</t>
        </is>
      </c>
      <c r="F3" s="5" t="inlineStr">
        <is>
          <t>Webmaster / correo institucional</t>
        </is>
      </c>
      <c r="G3" s="5" t="inlineStr"/>
      <c r="H3" s="5" t="inlineStr"/>
      <c r="I3" s="6" t="inlineStr">
        <is>
          <t>webmaster@congresocoahuila.gob.mx</t>
        </is>
      </c>
      <c r="J3" s="5" t="inlineStr">
        <is>
          <t>(844) 242 11 00</t>
        </is>
      </c>
      <c r="K3" s="5" t="inlineStr">
        <is>
          <t>Saltillo</t>
        </is>
      </c>
      <c r="L3" s="5" t="inlineStr">
        <is>
          <t>Blvd. Francisco Coss s/n, Zona Centro</t>
        </is>
      </c>
      <c r="M3" s="6" t="inlineStr">
        <is>
          <t>https://www.congresocoahuila.gob.mx/portal/correo-electronico/</t>
        </is>
      </c>
      <c r="N3" s="5" t="inlineStr">
        <is>
          <t>Alta</t>
        </is>
      </c>
      <c r="O3" s="5" t="inlineStr">
        <is>
          <t>Usar como respaldo del correo de contacto.</t>
        </is>
      </c>
      <c r="P3" s="7" t="inlineStr"/>
      <c r="Q3" s="7" t="inlineStr"/>
      <c r="R3" s="7" t="inlineStr"/>
    </row>
    <row r="4">
      <c r="A4" s="5" t="n">
        <v>3</v>
      </c>
      <c r="B4" s="5" t="inlineStr">
        <is>
          <t>Derecho Parlamentario</t>
        </is>
      </c>
      <c r="C4" s="5" t="inlineStr">
        <is>
          <t>Legislativo</t>
        </is>
      </c>
      <c r="D4" s="5" t="inlineStr">
        <is>
          <t>Alta</t>
        </is>
      </c>
      <c r="E4" s="5" t="inlineStr">
        <is>
          <t>Congreso del Estado de Coahuila</t>
        </is>
      </c>
      <c r="F4" s="5" t="inlineStr">
        <is>
          <t>Instituto de Investigaciones Jurídicas y Parlamentarias</t>
        </is>
      </c>
      <c r="G4" s="5" t="inlineStr"/>
      <c r="H4" s="5" t="inlineStr"/>
      <c r="I4" s="5" t="inlineStr"/>
      <c r="J4" s="5" t="inlineStr">
        <is>
          <t>(844) 242 10 39</t>
        </is>
      </c>
      <c r="K4" s="5" t="inlineStr">
        <is>
          <t>Saltillo</t>
        </is>
      </c>
      <c r="L4" s="5" t="inlineStr">
        <is>
          <t>Biblioteca del Congreso, Blvd. Francisco Coss y Acuña s/n, Zona Centro</t>
        </is>
      </c>
      <c r="M4" s="6" t="inlineStr">
        <is>
          <t>https://www.congresocoahuila.gob.mx/coahuila/congreso.html</t>
        </is>
      </c>
      <c r="N4" s="5" t="inlineStr">
        <is>
          <t>Media</t>
        </is>
      </c>
      <c r="O4" s="5" t="inlineStr">
        <is>
          <t>Aliado natural para cursos de técnica legislativa. Pedir correo del titular.</t>
        </is>
      </c>
      <c r="P4" s="7" t="inlineStr"/>
      <c r="Q4" s="7" t="inlineStr"/>
      <c r="R4" s="7" t="inlineStr"/>
    </row>
    <row r="5">
      <c r="A5" s="5" t="n">
        <v>4</v>
      </c>
      <c r="B5" s="5" t="inlineStr">
        <is>
          <t>Derecho Parlamentario</t>
        </is>
      </c>
      <c r="C5" s="5" t="inlineStr">
        <is>
          <t>Legislativo</t>
        </is>
      </c>
      <c r="D5" s="5" t="inlineStr">
        <is>
          <t>Alta</t>
        </is>
      </c>
      <c r="E5" s="5" t="inlineStr">
        <is>
          <t>Congreso del Estado de Coahuila</t>
        </is>
      </c>
      <c r="F5" s="5" t="inlineStr">
        <is>
          <t>Diputadas y diputados (25)</t>
        </is>
      </c>
      <c r="G5" s="5" t="inlineStr"/>
      <c r="H5" s="5" t="inlineStr">
        <is>
          <t>Diputados LXIII Legislatura</t>
        </is>
      </c>
      <c r="I5" s="5" t="inlineStr"/>
      <c r="J5" s="5" t="inlineStr">
        <is>
          <t>(844) 242 11 00</t>
        </is>
      </c>
      <c r="K5" s="5" t="inlineStr">
        <is>
          <t>Saltillo</t>
        </is>
      </c>
      <c r="L5" s="5" t="inlineStr"/>
      <c r="M5" s="6" t="inlineStr">
        <is>
          <t>https://www.congresocoahuila.gob.mx/portal/diputados/</t>
        </is>
      </c>
      <c r="N5" s="5" t="inlineStr">
        <is>
          <t>Media</t>
        </is>
      </c>
      <c r="O5" s="5" t="inlineStr">
        <is>
          <t>Correos individuales en el portal de diputados (sitio bloqueado desde este entorno). Llenar hoja 'Pendientes'.</t>
        </is>
      </c>
      <c r="P5" s="7" t="inlineStr"/>
      <c r="Q5" s="7" t="inlineStr"/>
      <c r="R5" s="7" t="inlineStr"/>
    </row>
    <row r="6">
      <c r="A6" s="5" t="n">
        <v>5</v>
      </c>
      <c r="B6" s="5" t="inlineStr">
        <is>
          <t>Ambos</t>
        </is>
      </c>
      <c r="C6" s="5" t="inlineStr">
        <is>
          <t>Fiscalización</t>
        </is>
      </c>
      <c r="D6" s="5" t="inlineStr">
        <is>
          <t>Media</t>
        </is>
      </c>
      <c r="E6" s="5" t="inlineStr">
        <is>
          <t>Auditoría Superior del Estado de Coahuila (ASEC)</t>
        </is>
      </c>
      <c r="F6" s="5" t="inlineStr">
        <is>
          <t>Contacto general</t>
        </is>
      </c>
      <c r="G6" s="5" t="inlineStr"/>
      <c r="H6" s="5" t="inlineStr"/>
      <c r="I6" s="6" t="inlineStr">
        <is>
          <t>asecoahuila@asecoahuila.gob.mx</t>
        </is>
      </c>
      <c r="J6" s="5" t="inlineStr">
        <is>
          <t>(844) 171 70 00</t>
        </is>
      </c>
      <c r="K6" s="5" t="inlineStr">
        <is>
          <t>Saltillo</t>
        </is>
      </c>
      <c r="L6" s="5" t="inlineStr">
        <is>
          <t>Los Fundadores 7269, Col. Ampliación Mirasierra, C.P. 25016</t>
        </is>
      </c>
      <c r="M6" s="6" t="inlineStr">
        <is>
          <t>https://www.asecoahuila.gob.mx/contacto/</t>
        </is>
      </c>
      <c r="N6" s="5" t="inlineStr">
        <is>
          <t>Alta</t>
        </is>
      </c>
      <c r="O6" s="5" t="inlineStr">
        <is>
          <t>Órgano técnico del Congreso. Directorio completo en su sección de transparencia.</t>
        </is>
      </c>
      <c r="P6" s="7" t="inlineStr"/>
      <c r="Q6" s="7" t="inlineStr"/>
      <c r="R6" s="7" t="inlineStr"/>
    </row>
    <row r="7">
      <c r="A7" s="5" t="n">
        <v>6</v>
      </c>
      <c r="B7" s="5" t="inlineStr">
        <is>
          <t>Derecho Parlamentario</t>
        </is>
      </c>
      <c r="C7" s="5" t="inlineStr">
        <is>
          <t>Órganos autónomos</t>
        </is>
      </c>
      <c r="D7" s="5" t="inlineStr">
        <is>
          <t>Media</t>
        </is>
      </c>
      <c r="E7" s="5" t="inlineStr">
        <is>
          <t>Instituto Electoral de Coahuila (IEC)</t>
        </is>
      </c>
      <c r="F7" s="5" t="inlineStr">
        <is>
          <t>Oficialía de partes</t>
        </is>
      </c>
      <c r="G7" s="5" t="inlineStr"/>
      <c r="H7" s="5" t="inlineStr"/>
      <c r="I7" s="6" t="inlineStr">
        <is>
          <t>oficialiadepartes@iec.org.mx</t>
        </is>
      </c>
      <c r="J7" s="5" t="inlineStr">
        <is>
          <t>(844) 438 62 60 / 800 00 43722</t>
        </is>
      </c>
      <c r="K7" s="5" t="inlineStr">
        <is>
          <t>Saltillo</t>
        </is>
      </c>
      <c r="L7" s="5" t="inlineStr">
        <is>
          <t>Blvd. Luis Donaldo Colosio 6207, Col. Las Torrecillas, C.P. 25298</t>
        </is>
      </c>
      <c r="M7" s="6" t="inlineStr">
        <is>
          <t>https://iec.org.mx/v1/</t>
        </is>
      </c>
      <c r="N7" s="5" t="inlineStr">
        <is>
          <t>Alta</t>
        </is>
      </c>
      <c r="O7" s="5" t="inlineStr"/>
      <c r="P7" s="7" t="inlineStr"/>
      <c r="Q7" s="7" t="inlineStr"/>
      <c r="R7" s="7" t="inlineStr"/>
    </row>
    <row r="8">
      <c r="A8" s="5" t="n">
        <v>7</v>
      </c>
      <c r="B8" s="5" t="inlineStr">
        <is>
          <t>Derecho Parlamentario</t>
        </is>
      </c>
      <c r="C8" s="5" t="inlineStr">
        <is>
          <t>Órganos autónomos</t>
        </is>
      </c>
      <c r="D8" s="5" t="inlineStr">
        <is>
          <t>Media</t>
        </is>
      </c>
      <c r="E8" s="5" t="inlineStr">
        <is>
          <t>Tribunal Electoral del Estado de Coahuila</t>
        </is>
      </c>
      <c r="F8" s="5" t="inlineStr">
        <is>
          <t>Contacto general</t>
        </is>
      </c>
      <c r="G8" s="5" t="inlineStr"/>
      <c r="H8" s="5" t="inlineStr"/>
      <c r="I8" s="5" t="inlineStr"/>
      <c r="J8" s="5" t="inlineStr">
        <is>
          <t>(844) 439 34 76 / 439 34 77 / 502 21 19</t>
        </is>
      </c>
      <c r="K8" s="5" t="inlineStr">
        <is>
          <t>Saltillo</t>
        </is>
      </c>
      <c r="L8" s="5" t="inlineStr">
        <is>
          <t>Blvd. Eulalio Gutiérrez Treviño 551, Fracc. Cruz del Aire, C.P. 25296</t>
        </is>
      </c>
      <c r="M8" s="6" t="inlineStr">
        <is>
          <t>https://www.tecz.org.mx/</t>
        </is>
      </c>
      <c r="N8" s="5" t="inlineStr">
        <is>
          <t>Media</t>
        </is>
      </c>
      <c r="O8" s="5" t="inlineStr">
        <is>
          <t>Correo no localizado; revisar tecz.org.mx.</t>
        </is>
      </c>
      <c r="P8" s="7" t="inlineStr"/>
      <c r="Q8" s="7" t="inlineStr"/>
      <c r="R8" s="7" t="inlineStr"/>
    </row>
    <row r="9">
      <c r="A9" s="5" t="n">
        <v>8</v>
      </c>
      <c r="B9" s="5" t="inlineStr">
        <is>
          <t>Ambos</t>
        </is>
      </c>
      <c r="C9" s="5" t="inlineStr">
        <is>
          <t>Órganos autónomos</t>
        </is>
      </c>
      <c r="D9" s="5" t="inlineStr">
        <is>
          <t>Media</t>
        </is>
      </c>
      <c r="E9" s="5" t="inlineStr">
        <is>
          <t>INTRAC – Organismo de Información y Transparencia de Coahuila</t>
        </is>
      </c>
      <c r="F9" s="5" t="inlineStr">
        <is>
          <t>Contacto general</t>
        </is>
      </c>
      <c r="G9" s="5" t="inlineStr"/>
      <c r="H9" s="5" t="inlineStr"/>
      <c r="I9" s="6" t="inlineStr">
        <is>
          <t>intrac@coahuila.gob.mx</t>
        </is>
      </c>
      <c r="J9" s="5" t="inlineStr">
        <is>
          <t>(844) 986 98 00</t>
        </is>
      </c>
      <c r="K9" s="5" t="inlineStr">
        <is>
          <t>Saltillo</t>
        </is>
      </c>
      <c r="L9" s="5" t="inlineStr">
        <is>
          <t>Perif. Luis Echeverría esq. Eje 2, Centro Metropolitano, C.P. 25020</t>
        </is>
      </c>
      <c r="M9" s="6" t="inlineStr">
        <is>
          <t>https://www.intrac.gob.mx/contactanos/</t>
        </is>
      </c>
      <c r="N9" s="5" t="inlineStr">
        <is>
          <t>Alta</t>
        </is>
      </c>
      <c r="O9" s="5" t="inlineStr">
        <is>
          <t>Tiene el directorio de unidades de transparencia de todos los sujetos obligados.</t>
        </is>
      </c>
      <c r="P9" s="7" t="inlineStr"/>
      <c r="Q9" s="7" t="inlineStr"/>
      <c r="R9" s="7" t="inlineStr"/>
    </row>
    <row r="10">
      <c r="A10" s="5" t="n">
        <v>9</v>
      </c>
      <c r="B10" s="5" t="inlineStr">
        <is>
          <t>Maestría DATESP</t>
        </is>
      </c>
      <c r="C10" s="5" t="inlineStr">
        <is>
          <t>Derechos humanos</t>
        </is>
      </c>
      <c r="D10" s="5" t="inlineStr">
        <is>
          <t>Media</t>
        </is>
      </c>
      <c r="E10" s="5" t="inlineStr">
        <is>
          <t>Comisión de los Derechos Humanos del Estado de Coahuila (CDHEC)</t>
        </is>
      </c>
      <c r="F10" s="5" t="inlineStr">
        <is>
          <t>Visitaduría General</t>
        </is>
      </c>
      <c r="G10" s="5" t="inlineStr"/>
      <c r="H10" s="5" t="inlineStr"/>
      <c r="I10" s="6" t="inlineStr">
        <is>
          <t>visitadorgral@cdhec.org.mx</t>
        </is>
      </c>
      <c r="J10" s="5" t="inlineStr">
        <is>
          <t>(844) 416 21 10 / 439 36 75 / 800 841 23 00</t>
        </is>
      </c>
      <c r="K10" s="5" t="inlineStr">
        <is>
          <t>Saltillo</t>
        </is>
      </c>
      <c r="L10" s="5" t="inlineStr">
        <is>
          <t>Ignacio Allende 226, Zona Centro, C.P. 25000</t>
        </is>
      </c>
      <c r="M10" s="6" t="inlineStr">
        <is>
          <t>https://cdhec.org.mx/v2/Sedes.html</t>
        </is>
      </c>
      <c r="N10" s="5" t="inlineStr">
        <is>
          <t>Alta</t>
        </is>
      </c>
      <c r="O10" s="5" t="inlineStr"/>
      <c r="P10" s="7" t="inlineStr"/>
      <c r="Q10" s="7" t="inlineStr"/>
      <c r="R10" s="7" t="inlineStr"/>
    </row>
    <row r="11">
      <c r="A11" s="5" t="n">
        <v>10</v>
      </c>
      <c r="B11" s="5" t="inlineStr">
        <is>
          <t>Maestría DATESP</t>
        </is>
      </c>
      <c r="C11" s="5" t="inlineStr">
        <is>
          <t>Derechos humanos</t>
        </is>
      </c>
      <c r="D11" s="5" t="inlineStr">
        <is>
          <t>Baja</t>
        </is>
      </c>
      <c r="E11" s="5" t="inlineStr">
        <is>
          <t>Comisión de los Derechos Humanos del Estado de Coahuila (CDHEC)</t>
        </is>
      </c>
      <c r="F11" s="5" t="inlineStr">
        <is>
          <t>Primera Visitaduría Regional (Sureste)</t>
        </is>
      </c>
      <c r="G11" s="5" t="inlineStr"/>
      <c r="H11" s="5" t="inlineStr"/>
      <c r="I11" s="6" t="inlineStr">
        <is>
          <t>primeravisitaduria@cdhec.org.mx</t>
        </is>
      </c>
      <c r="J11" s="5" t="inlineStr">
        <is>
          <t>(844) 416 20 50</t>
        </is>
      </c>
      <c r="K11" s="5" t="inlineStr">
        <is>
          <t>Saltillo</t>
        </is>
      </c>
      <c r="L11" s="5" t="inlineStr"/>
      <c r="M11" s="6" t="inlineStr">
        <is>
          <t>https://cdhec.org.mx/v2/Sedes.html</t>
        </is>
      </c>
      <c r="N11" s="5" t="inlineStr">
        <is>
          <t>Alta</t>
        </is>
      </c>
      <c r="O11" s="5" t="inlineStr"/>
      <c r="P11" s="7" t="inlineStr"/>
      <c r="Q11" s="7" t="inlineStr"/>
      <c r="R11" s="7" t="inlineStr"/>
    </row>
    <row r="12">
      <c r="A12" s="5" t="n">
        <v>11</v>
      </c>
      <c r="B12" s="5" t="inlineStr">
        <is>
          <t>Maestría DATESP</t>
        </is>
      </c>
      <c r="C12" s="5" t="inlineStr">
        <is>
          <t>Derechos humanos</t>
        </is>
      </c>
      <c r="D12" s="5" t="inlineStr">
        <is>
          <t>Baja</t>
        </is>
      </c>
      <c r="E12" s="5" t="inlineStr">
        <is>
          <t>Comisión de los Derechos Humanos del Estado de Coahuila (CDHEC)</t>
        </is>
      </c>
      <c r="F12" s="5" t="inlineStr">
        <is>
          <t>Segunda Visitaduría Regional (Laguna)</t>
        </is>
      </c>
      <c r="G12" s="5" t="inlineStr"/>
      <c r="H12" s="5" t="inlineStr"/>
      <c r="I12" s="6" t="inlineStr">
        <is>
          <t>torreon@cdhec.org.mx</t>
        </is>
      </c>
      <c r="J12" s="5" t="inlineStr">
        <is>
          <t>(871) 793 03 23</t>
        </is>
      </c>
      <c r="K12" s="5" t="inlineStr">
        <is>
          <t>Torreón</t>
        </is>
      </c>
      <c r="L12" s="5" t="inlineStr"/>
      <c r="M12" s="6" t="inlineStr">
        <is>
          <t>https://cdhec.org.mx/v2/Sedes.html</t>
        </is>
      </c>
      <c r="N12" s="5" t="inlineStr">
        <is>
          <t>Alta</t>
        </is>
      </c>
      <c r="O12" s="5" t="inlineStr"/>
      <c r="P12" s="7" t="inlineStr"/>
      <c r="Q12" s="7" t="inlineStr"/>
      <c r="R12" s="7" t="inlineStr"/>
    </row>
    <row r="13">
      <c r="A13" s="5" t="n">
        <v>12</v>
      </c>
      <c r="B13" s="5" t="inlineStr">
        <is>
          <t>Derecho Parlamentario</t>
        </is>
      </c>
      <c r="C13" s="5" t="inlineStr">
        <is>
          <t>Ejecutivo estatal</t>
        </is>
      </c>
      <c r="D13" s="5" t="inlineStr">
        <is>
          <t>Media</t>
        </is>
      </c>
      <c r="E13" s="5" t="inlineStr">
        <is>
          <t>Secretaría de Gobierno de Coahuila</t>
        </is>
      </c>
      <c r="F13" s="5" t="inlineStr">
        <is>
          <t>Conmutador</t>
        </is>
      </c>
      <c r="G13" s="5" t="inlineStr"/>
      <c r="H13" s="5" t="inlineStr"/>
      <c r="I13" s="5" t="inlineStr"/>
      <c r="J13" s="5" t="inlineStr">
        <is>
          <t>(844) 411 85 00 / 411 85 88 / 411 86 34</t>
        </is>
      </c>
      <c r="K13" s="5" t="inlineStr">
        <is>
          <t>Saltillo</t>
        </is>
      </c>
      <c r="L13" s="5" t="inlineStr">
        <is>
          <t>Palacio de Gobierno, Juárez y Zaragoza s/n, Zona Centro, C.P. 25000</t>
        </is>
      </c>
      <c r="M13" s="6" t="inlineStr">
        <is>
          <t>https://coahuila.gob.mx/dependencias/index/SEGOB</t>
        </is>
      </c>
      <c r="N13" s="5" t="inlineStr">
        <is>
          <t>Media</t>
        </is>
      </c>
      <c r="O13" s="5" t="inlineStr">
        <is>
          <t>Pedir enlace legislativo y Consejería Jurídica. Titular vigente: ver coahuila.gob.mx/directorio.</t>
        </is>
      </c>
      <c r="P13" s="7" t="inlineStr"/>
      <c r="Q13" s="7" t="inlineStr"/>
      <c r="R13" s="7" t="inlineStr"/>
    </row>
    <row r="14">
      <c r="A14" s="5" t="n">
        <v>13</v>
      </c>
      <c r="B14" s="5" t="inlineStr">
        <is>
          <t>Maestría DATESP</t>
        </is>
      </c>
      <c r="C14" s="5" t="inlineStr">
        <is>
          <t>Tecnología / Economía</t>
        </is>
      </c>
      <c r="D14" s="5" t="inlineStr">
        <is>
          <t>Media</t>
        </is>
      </c>
      <c r="E14" s="5" t="inlineStr">
        <is>
          <t>Secretaría de Economía de Coahuila</t>
        </is>
      </c>
      <c r="F14" s="5" t="inlineStr">
        <is>
          <t>Despacho</t>
        </is>
      </c>
      <c r="G14" s="5" t="inlineStr"/>
      <c r="H14" s="5" t="inlineStr"/>
      <c r="I14" s="6" t="inlineStr">
        <is>
          <t>despacho.sec@coahuila.gob.mx</t>
        </is>
      </c>
      <c r="J14" s="5" t="inlineStr">
        <is>
          <t>(844) 415 21 62 / 416 52 74 ext. 4805</t>
        </is>
      </c>
      <c r="K14" s="5" t="inlineStr">
        <is>
          <t>Saltillo</t>
        </is>
      </c>
      <c r="L14" s="5" t="inlineStr">
        <is>
          <t>Perif. Luis Echeverría 1560, Torre Saltillo piso 12, Col. Guanajuato Ote., C.P. 25286</t>
        </is>
      </c>
      <c r="M14" s="6" t="inlineStr">
        <is>
          <t>https://www.seccoahuila.gob.mx/directorio.html</t>
        </is>
      </c>
      <c r="N14" s="5" t="inlineStr">
        <is>
          <t>Media</t>
        </is>
      </c>
      <c r="O14" s="5" t="inlineStr">
        <is>
          <t>Enlace con clústeres e innovación / tecnologías emergentes.</t>
        </is>
      </c>
      <c r="P14" s="7" t="inlineStr"/>
      <c r="Q14" s="7" t="inlineStr"/>
      <c r="R14" s="7" t="inlineStr"/>
    </row>
    <row r="15">
      <c r="A15" s="5" t="n">
        <v>14</v>
      </c>
      <c r="B15" s="5" t="inlineStr">
        <is>
          <t>Ambos</t>
        </is>
      </c>
      <c r="C15" s="5" t="inlineStr">
        <is>
          <t>Justicia</t>
        </is>
      </c>
      <c r="D15" s="5" t="inlineStr">
        <is>
          <t>Alta</t>
        </is>
      </c>
      <c r="E15" s="5" t="inlineStr">
        <is>
          <t>Poder Judicial del Estado de Coahuila</t>
        </is>
      </c>
      <c r="F15" s="5" t="inlineStr">
        <is>
          <t>Instituto de Especialización Judicial</t>
        </is>
      </c>
      <c r="G15" s="5" t="inlineStr"/>
      <c r="H15" s="5" t="inlineStr"/>
      <c r="I15" s="6" t="inlineStr">
        <is>
          <t>instituto.judicial@pjecz.gob.mx</t>
        </is>
      </c>
      <c r="J15" s="5" t="inlineStr">
        <is>
          <t>(844) 777 45 38</t>
        </is>
      </c>
      <c r="K15" s="5" t="inlineStr">
        <is>
          <t>Saltillo</t>
        </is>
      </c>
      <c r="L15" s="5" t="inlineStr">
        <is>
          <t>Blvd. Los Fundadores 7435, Col. Ex Hacienda San José de los Cerritos, C.P. 25294</t>
        </is>
      </c>
      <c r="M15" s="6" t="inlineStr">
        <is>
          <t>https://www.pjecz.gob.mx/conocenos/estructura/tribunal-superior-de-justicia/organos-no-jurisdiccionales/instituto-de-especializacion-judicial/directorio/</t>
        </is>
      </c>
      <c r="N15" s="5" t="inlineStr">
        <is>
          <t>Alta</t>
        </is>
      </c>
      <c r="O15" s="5" t="inlineStr">
        <is>
          <t>Área de capacitación del Poder Judicial: ideal para convenio.</t>
        </is>
      </c>
      <c r="P15" s="7" t="inlineStr"/>
      <c r="Q15" s="7" t="inlineStr"/>
      <c r="R15" s="7" t="inlineStr"/>
    </row>
    <row r="16">
      <c r="A16" s="5" t="n">
        <v>15</v>
      </c>
      <c r="B16" s="5" t="inlineStr">
        <is>
          <t>Ambos</t>
        </is>
      </c>
      <c r="C16" s="5" t="inlineStr">
        <is>
          <t>Justicia</t>
        </is>
      </c>
      <c r="D16" s="5" t="inlineStr">
        <is>
          <t>Media</t>
        </is>
      </c>
      <c r="E16" s="5" t="inlineStr">
        <is>
          <t>Poder Judicial del Estado de Coahuila</t>
        </is>
      </c>
      <c r="F16" s="5" t="inlineStr">
        <is>
          <t>Conmutador general</t>
        </is>
      </c>
      <c r="G16" s="5" t="inlineStr"/>
      <c r="H16" s="5" t="inlineStr"/>
      <c r="I16" s="5" t="inlineStr"/>
      <c r="J16" s="5" t="inlineStr">
        <is>
          <t>(844) 777 44 98</t>
        </is>
      </c>
      <c r="K16" s="5" t="inlineStr">
        <is>
          <t>Saltillo</t>
        </is>
      </c>
      <c r="L16" s="5" t="inlineStr">
        <is>
          <t>Francisco Coss 945, Zona Centro</t>
        </is>
      </c>
      <c r="M16" s="6" t="inlineStr">
        <is>
          <t>https://www.pjecz.gob.mx/</t>
        </is>
      </c>
      <c r="N16" s="5" t="inlineStr">
        <is>
          <t>Alta</t>
        </is>
      </c>
      <c r="O16" s="5" t="inlineStr"/>
      <c r="P16" s="7" t="inlineStr"/>
      <c r="Q16" s="7" t="inlineStr"/>
      <c r="R16" s="7" t="inlineStr"/>
    </row>
    <row r="17">
      <c r="A17" s="5" t="n">
        <v>16</v>
      </c>
      <c r="B17" s="5" t="inlineStr">
        <is>
          <t>Maestría DATESP</t>
        </is>
      </c>
      <c r="C17" s="5" t="inlineStr">
        <is>
          <t>Justicia</t>
        </is>
      </c>
      <c r="D17" s="5" t="inlineStr">
        <is>
          <t>Media</t>
        </is>
      </c>
      <c r="E17" s="5" t="inlineStr">
        <is>
          <t>Tribunal de Justicia Administrativa de Coahuila</t>
        </is>
      </c>
      <c r="F17" s="5" t="inlineStr">
        <is>
          <t>Contacto general</t>
        </is>
      </c>
      <c r="G17" s="5" t="inlineStr"/>
      <c r="H17" s="5" t="inlineStr"/>
      <c r="I17" s="5" t="inlineStr"/>
      <c r="J17" s="5" t="inlineStr">
        <is>
          <t>(844) 123 03 10</t>
        </is>
      </c>
      <c r="K17" s="5" t="inlineStr">
        <is>
          <t>Saltillo</t>
        </is>
      </c>
      <c r="L17" s="5" t="inlineStr">
        <is>
          <t>Blvd. Francisco Coss s/n, Zona Centro, C.P. 25000</t>
        </is>
      </c>
      <c r="M17" s="6" t="inlineStr">
        <is>
          <t>https://tjacoahuila.org/contacto.html</t>
        </is>
      </c>
      <c r="N17" s="5" t="inlineStr">
        <is>
          <t>Media</t>
        </is>
      </c>
      <c r="O17" s="5" t="inlineStr">
        <is>
          <t>Correo protegido en la página; consultar sitio.</t>
        </is>
      </c>
      <c r="P17" s="7" t="inlineStr"/>
      <c r="Q17" s="7" t="inlineStr"/>
      <c r="R17" s="7" t="inlineStr"/>
    </row>
    <row r="18">
      <c r="A18" s="5" t="n">
        <v>17</v>
      </c>
      <c r="B18" s="5" t="inlineStr">
        <is>
          <t>Maestría DATESP</t>
        </is>
      </c>
      <c r="C18" s="5" t="inlineStr">
        <is>
          <t>Procuración de justicia</t>
        </is>
      </c>
      <c r="D18" s="5" t="inlineStr">
        <is>
          <t>Alta</t>
        </is>
      </c>
      <c r="E18" s="5" t="inlineStr">
        <is>
          <t>Fiscalía General del Estado de Coahuila</t>
        </is>
      </c>
      <c r="F18" s="5" t="inlineStr">
        <is>
          <t>Oficinas centrales</t>
        </is>
      </c>
      <c r="G18" s="5" t="inlineStr"/>
      <c r="H18" s="5" t="inlineStr"/>
      <c r="I18" s="5" t="inlineStr"/>
      <c r="J18" s="5" t="inlineStr">
        <is>
          <t>(844) 438 07 00</t>
        </is>
      </c>
      <c r="K18" s="5" t="inlineStr">
        <is>
          <t>Saltillo</t>
        </is>
      </c>
      <c r="L18" s="5" t="inlineStr">
        <is>
          <t>Humberto Castilla Salas 600, Nuevo Centro Metropolitano, C.P. 25050</t>
        </is>
      </c>
      <c r="M18" s="6" t="inlineStr">
        <is>
          <t>https://sitio.fgecoahuila.gob.mx/contact/</t>
        </is>
      </c>
      <c r="N18" s="5" t="inlineStr">
        <is>
          <t>Alta</t>
        </is>
      </c>
      <c r="O18" s="5" t="inlineStr">
        <is>
          <t>Pedir el Centro de Profesionalización, Acreditación, Certificación y Carrera.</t>
        </is>
      </c>
      <c r="P18" s="7" t="inlineStr"/>
      <c r="Q18" s="7" t="inlineStr"/>
      <c r="R18" s="7" t="inlineStr"/>
    </row>
    <row r="19">
      <c r="A19" s="5" t="n">
        <v>18</v>
      </c>
      <c r="B19" s="5" t="inlineStr">
        <is>
          <t>Maestría DATESP</t>
        </is>
      </c>
      <c r="C19" s="5" t="inlineStr">
        <is>
          <t>Procuración de justicia</t>
        </is>
      </c>
      <c r="D19" s="5" t="inlineStr">
        <is>
          <t>Media</t>
        </is>
      </c>
      <c r="E19" s="5" t="inlineStr">
        <is>
          <t>Fiscalía General del Estado de Coahuila</t>
        </is>
      </c>
      <c r="F19" s="5" t="inlineStr">
        <is>
          <t>Policía Cibernética (FGE)</t>
        </is>
      </c>
      <c r="G19" s="5" t="inlineStr"/>
      <c r="H19" s="5" t="inlineStr"/>
      <c r="I19" s="6" t="inlineStr">
        <is>
          <t>policiacibernetica.fge@coahuila.gob.mx</t>
        </is>
      </c>
      <c r="J19" s="5" t="inlineStr">
        <is>
          <t>(844) 438 07 00 ext. 7579</t>
        </is>
      </c>
      <c r="K19" s="5" t="inlineStr">
        <is>
          <t>Saltillo</t>
        </is>
      </c>
      <c r="L19" s="5" t="inlineStr"/>
      <c r="M19" s="6" t="inlineStr">
        <is>
          <t>https://www.facebook.com/PoliciaCiberneticaCoahuila</t>
        </is>
      </c>
      <c r="N19" s="5" t="inlineStr">
        <is>
          <t>Media</t>
        </is>
      </c>
      <c r="O19" s="5" t="inlineStr">
        <is>
          <t>Perfil para tecnologías emergentes / evidencia digital.</t>
        </is>
      </c>
      <c r="P19" s="7" t="inlineStr"/>
      <c r="Q19" s="7" t="inlineStr"/>
      <c r="R19" s="7" t="inlineStr"/>
    </row>
    <row r="20">
      <c r="A20" s="5" t="n">
        <v>19</v>
      </c>
      <c r="B20" s="5" t="inlineStr">
        <is>
          <t>Maestría DATESP</t>
        </is>
      </c>
      <c r="C20" s="5" t="inlineStr">
        <is>
          <t>Procuración de justicia</t>
        </is>
      </c>
      <c r="D20" s="5" t="inlineStr">
        <is>
          <t>Baja</t>
        </is>
      </c>
      <c r="E20" s="5" t="inlineStr">
        <is>
          <t>Fiscalía General del Estado de Coahuila</t>
        </is>
      </c>
      <c r="F20" s="5" t="inlineStr">
        <is>
          <t>Delegación Laguna I</t>
        </is>
      </c>
      <c r="G20" s="5" t="inlineStr"/>
      <c r="H20" s="5" t="inlineStr"/>
      <c r="I20" s="5" t="inlineStr"/>
      <c r="J20" s="5" t="inlineStr">
        <is>
          <t>(871) 180 12 06</t>
        </is>
      </c>
      <c r="K20" s="5" t="inlineStr">
        <is>
          <t>Torreón</t>
        </is>
      </c>
      <c r="L20" s="5" t="inlineStr"/>
      <c r="M20" s="6" t="inlineStr">
        <is>
          <t>https://fgecoahuila.gob.mx/landing/delegaciones</t>
        </is>
      </c>
      <c r="N20" s="5" t="inlineStr">
        <is>
          <t>Media</t>
        </is>
      </c>
      <c r="O20" s="5" t="inlineStr"/>
      <c r="P20" s="7" t="inlineStr"/>
      <c r="Q20" s="7" t="inlineStr"/>
      <c r="R20" s="7" t="inlineStr"/>
    </row>
    <row r="21">
      <c r="A21" s="5" t="n">
        <v>20</v>
      </c>
      <c r="B21" s="5" t="inlineStr">
        <is>
          <t>Maestría DATESP</t>
        </is>
      </c>
      <c r="C21" s="5" t="inlineStr">
        <is>
          <t>Procuración de justicia</t>
        </is>
      </c>
      <c r="D21" s="5" t="inlineStr">
        <is>
          <t>Baja</t>
        </is>
      </c>
      <c r="E21" s="5" t="inlineStr">
        <is>
          <t>Fiscalía General del Estado de Coahuila</t>
        </is>
      </c>
      <c r="F21" s="5" t="inlineStr">
        <is>
          <t>Delegación Sureste</t>
        </is>
      </c>
      <c r="G21" s="5" t="inlineStr"/>
      <c r="H21" s="5" t="inlineStr"/>
      <c r="I21" s="5" t="inlineStr"/>
      <c r="J21" s="5" t="inlineStr">
        <is>
          <t>(844) 433 00 23 / 438 76 00</t>
        </is>
      </c>
      <c r="K21" s="5" t="inlineStr">
        <is>
          <t>Saltillo</t>
        </is>
      </c>
      <c r="L21" s="5" t="inlineStr"/>
      <c r="M21" s="6" t="inlineStr">
        <is>
          <t>https://fgecoahuila.gob.mx/landing/delegaciones</t>
        </is>
      </c>
      <c r="N21" s="5" t="inlineStr">
        <is>
          <t>Media</t>
        </is>
      </c>
      <c r="O21" s="5" t="inlineStr"/>
      <c r="P21" s="7" t="inlineStr"/>
      <c r="Q21" s="7" t="inlineStr"/>
      <c r="R21" s="7" t="inlineStr"/>
    </row>
    <row r="22">
      <c r="A22" s="5" t="n">
        <v>21</v>
      </c>
      <c r="B22" s="5" t="inlineStr">
        <is>
          <t>Maestría DATESP</t>
        </is>
      </c>
      <c r="C22" s="5" t="inlineStr">
        <is>
          <t>Procuración de justicia</t>
        </is>
      </c>
      <c r="D22" s="5" t="inlineStr">
        <is>
          <t>Baja</t>
        </is>
      </c>
      <c r="E22" s="5" t="inlineStr">
        <is>
          <t>Fiscalía General del Estado de Coahuila</t>
        </is>
      </c>
      <c r="F22" s="5" t="inlineStr">
        <is>
          <t>Delegación Centro</t>
        </is>
      </c>
      <c r="G22" s="5" t="inlineStr"/>
      <c r="H22" s="5" t="inlineStr"/>
      <c r="I22" s="5" t="inlineStr"/>
      <c r="J22" s="5" t="inlineStr">
        <is>
          <t>(861) 612 12 49</t>
        </is>
      </c>
      <c r="K22" s="5" t="inlineStr">
        <is>
          <t>Región Centro</t>
        </is>
      </c>
      <c r="L22" s="5" t="inlineStr"/>
      <c r="M22" s="6" t="inlineStr">
        <is>
          <t>https://fgecoahuila.gob.mx/landing/delegaciones</t>
        </is>
      </c>
      <c r="N22" s="5" t="inlineStr">
        <is>
          <t>Media</t>
        </is>
      </c>
      <c r="O22" s="5" t="inlineStr">
        <is>
          <t>Número de la búsqueda; confirmar clave lada.</t>
        </is>
      </c>
      <c r="P22" s="7" t="inlineStr"/>
      <c r="Q22" s="7" t="inlineStr"/>
      <c r="R22" s="7" t="inlineStr"/>
    </row>
    <row r="23">
      <c r="A23" s="5" t="n">
        <v>22</v>
      </c>
      <c r="B23" s="5" t="inlineStr">
        <is>
          <t>Maestría DATESP</t>
        </is>
      </c>
      <c r="C23" s="5" t="inlineStr">
        <is>
          <t>Procuración de justicia</t>
        </is>
      </c>
      <c r="D23" s="5" t="inlineStr">
        <is>
          <t>Baja</t>
        </is>
      </c>
      <c r="E23" s="5" t="inlineStr">
        <is>
          <t>Fiscalía General del Estado de Coahuila</t>
        </is>
      </c>
      <c r="F23" s="5" t="inlineStr">
        <is>
          <t>Delegación Norte II</t>
        </is>
      </c>
      <c r="G23" s="5" t="inlineStr"/>
      <c r="H23" s="5" t="inlineStr"/>
      <c r="I23" s="5" t="inlineStr"/>
      <c r="J23" s="5" t="inlineStr">
        <is>
          <t>(877) 773 22 64</t>
        </is>
      </c>
      <c r="K23" s="5" t="inlineStr">
        <is>
          <t>Acuña</t>
        </is>
      </c>
      <c r="L23" s="5" t="inlineStr"/>
      <c r="M23" s="6" t="inlineStr">
        <is>
          <t>https://fgecoahuila.gob.mx/landing/delegaciones</t>
        </is>
      </c>
      <c r="N23" s="5" t="inlineStr">
        <is>
          <t>Media</t>
        </is>
      </c>
      <c r="O23" s="5" t="inlineStr"/>
      <c r="P23" s="7" t="inlineStr"/>
      <c r="Q23" s="7" t="inlineStr"/>
      <c r="R23" s="7" t="inlineStr"/>
    </row>
    <row r="24">
      <c r="A24" s="5" t="n">
        <v>23</v>
      </c>
      <c r="B24" s="5" t="inlineStr">
        <is>
          <t>Maestría DATESP</t>
        </is>
      </c>
      <c r="C24" s="5" t="inlineStr">
        <is>
          <t>Procuración de justicia</t>
        </is>
      </c>
      <c r="D24" s="5" t="inlineStr">
        <is>
          <t>Baja</t>
        </is>
      </c>
      <c r="E24" s="5" t="inlineStr">
        <is>
          <t>Fiscalía General del Estado de Coahuila</t>
        </is>
      </c>
      <c r="F24" s="5" t="inlineStr">
        <is>
          <t>Delegación Laguna II</t>
        </is>
      </c>
      <c r="G24" s="5" t="inlineStr"/>
      <c r="H24" s="5" t="inlineStr"/>
      <c r="I24" s="5" t="inlineStr"/>
      <c r="J24" s="5" t="inlineStr">
        <is>
          <t>(872) 772 35 45</t>
        </is>
      </c>
      <c r="K24" s="5" t="inlineStr">
        <is>
          <t>San Pedro</t>
        </is>
      </c>
      <c r="L24" s="5" t="inlineStr"/>
      <c r="M24" s="6" t="inlineStr">
        <is>
          <t>https://fgecoahuila.gob.mx/landing/delegaciones</t>
        </is>
      </c>
      <c r="N24" s="5" t="inlineStr">
        <is>
          <t>Media</t>
        </is>
      </c>
      <c r="O24" s="5" t="inlineStr"/>
      <c r="P24" s="7" t="inlineStr"/>
      <c r="Q24" s="7" t="inlineStr"/>
      <c r="R24" s="7" t="inlineStr"/>
    </row>
    <row r="25">
      <c r="A25" s="5" t="n">
        <v>24</v>
      </c>
      <c r="B25" s="5" t="inlineStr">
        <is>
          <t>Maestría DATESP</t>
        </is>
      </c>
      <c r="C25" s="5" t="inlineStr">
        <is>
          <t>Seguridad estatal</t>
        </is>
      </c>
      <c r="D25" s="5" t="inlineStr">
        <is>
          <t>Alta</t>
        </is>
      </c>
      <c r="E25" s="5" t="inlineStr">
        <is>
          <t>Secretaría de Seguridad Pública de Coahuila</t>
        </is>
      </c>
      <c r="F25" s="5" t="inlineStr">
        <is>
          <t>Despacho</t>
        </is>
      </c>
      <c r="G25" s="5" t="inlineStr"/>
      <c r="H25" s="5" t="inlineStr"/>
      <c r="I25" s="5" t="inlineStr"/>
      <c r="J25" s="5" t="inlineStr">
        <is>
          <t>(844) 438 98 00 ext. 7913</t>
        </is>
      </c>
      <c r="K25" s="5" t="inlineStr">
        <is>
          <t>Saltillo</t>
        </is>
      </c>
      <c r="L25" s="5" t="inlineStr">
        <is>
          <t>Perif. Luis Echeverría Álvarez 5402 Int. 1, Centro Metropolitano, C.P. 25050</t>
        </is>
      </c>
      <c r="M25" s="6" t="inlineStr">
        <is>
          <t>https://www.sspcoahuila.gob.mx/directorioSSP.html</t>
        </is>
      </c>
      <c r="N25" s="5" t="inlineStr">
        <is>
          <t>Alta</t>
        </is>
      </c>
      <c r="O25" s="5" t="inlineStr">
        <is>
          <t>Pedir Dirección de Profesionalización / Recursos Humanos.</t>
        </is>
      </c>
      <c r="P25" s="7" t="inlineStr"/>
      <c r="Q25" s="7" t="inlineStr"/>
      <c r="R25" s="7" t="inlineStr"/>
    </row>
    <row r="26">
      <c r="A26" s="5" t="n">
        <v>25</v>
      </c>
      <c r="B26" s="5" t="inlineStr">
        <is>
          <t>Maestría DATESP</t>
        </is>
      </c>
      <c r="C26" s="5" t="inlineStr">
        <is>
          <t>Seguridad estatal</t>
        </is>
      </c>
      <c r="D26" s="5" t="inlineStr">
        <is>
          <t>Media</t>
        </is>
      </c>
      <c r="E26" s="5" t="inlineStr">
        <is>
          <t>Secretaría de Seguridad Pública de Coahuila</t>
        </is>
      </c>
      <c r="F26" s="5" t="inlineStr">
        <is>
          <t>Coordinación Administrativa</t>
        </is>
      </c>
      <c r="G26" s="5" t="inlineStr"/>
      <c r="H26" s="5" t="inlineStr"/>
      <c r="I26" s="5" t="inlineStr"/>
      <c r="J26" s="5" t="inlineStr">
        <is>
          <t>(844) 438 98 00 ext. 8047</t>
        </is>
      </c>
      <c r="K26" s="5" t="inlineStr">
        <is>
          <t>Saltillo</t>
        </is>
      </c>
      <c r="L26" s="5" t="inlineStr"/>
      <c r="M26" s="6" t="inlineStr">
        <is>
          <t>https://www.sspcoahuila.gob.mx/directorioSSP.html</t>
        </is>
      </c>
      <c r="N26" s="5" t="inlineStr">
        <is>
          <t>Alta</t>
        </is>
      </c>
      <c r="O26" s="5" t="inlineStr"/>
      <c r="P26" s="7" t="inlineStr"/>
      <c r="Q26" s="7" t="inlineStr"/>
      <c r="R26" s="7" t="inlineStr"/>
    </row>
    <row r="27">
      <c r="A27" s="5" t="n">
        <v>26</v>
      </c>
      <c r="B27" s="5" t="inlineStr">
        <is>
          <t>Maestría DATESP</t>
        </is>
      </c>
      <c r="C27" s="5" t="inlineStr">
        <is>
          <t>Seguridad estatal</t>
        </is>
      </c>
      <c r="D27" s="5" t="inlineStr">
        <is>
          <t>Media</t>
        </is>
      </c>
      <c r="E27" s="5" t="inlineStr">
        <is>
          <t>Secretaría de Seguridad Pública de Coahuila</t>
        </is>
      </c>
      <c r="F27" s="5" t="inlineStr">
        <is>
          <t>Policía Cibernética (SSP)</t>
        </is>
      </c>
      <c r="G27" s="5" t="inlineStr"/>
      <c r="H27" s="5" t="inlineStr"/>
      <c r="I27" s="6" t="inlineStr">
        <is>
          <t>policiacibernetica.ssp@coahuila.gob.mx</t>
        </is>
      </c>
      <c r="J27" s="5" t="inlineStr">
        <is>
          <t>(844) 438 98 00 ext. 7946</t>
        </is>
      </c>
      <c r="K27" s="5" t="inlineStr">
        <is>
          <t>Saltillo</t>
        </is>
      </c>
      <c r="L27" s="5" t="inlineStr"/>
      <c r="M27" s="6" t="inlineStr">
        <is>
          <t>https://www.facebook.com/PoliciaCiberneticaCoahuila</t>
        </is>
      </c>
      <c r="N27" s="5" t="inlineStr">
        <is>
          <t>Media</t>
        </is>
      </c>
      <c r="O27" s="5" t="inlineStr"/>
      <c r="P27" s="7" t="inlineStr"/>
      <c r="Q27" s="7" t="inlineStr"/>
      <c r="R27" s="7" t="inlineStr"/>
    </row>
    <row r="28">
      <c r="A28" s="5" t="n">
        <v>27</v>
      </c>
      <c r="B28" s="5" t="inlineStr">
        <is>
          <t>Maestría DATESP</t>
        </is>
      </c>
      <c r="C28" s="5" t="inlineStr">
        <is>
          <t>Seguridad estatal</t>
        </is>
      </c>
      <c r="D28" s="5" t="inlineStr">
        <is>
          <t>Media</t>
        </is>
      </c>
      <c r="E28" s="5" t="inlineStr">
        <is>
          <t>Policía del Estado de Coahuila</t>
        </is>
      </c>
      <c r="F28" s="5" t="inlineStr">
        <is>
          <t>Línea general</t>
        </is>
      </c>
      <c r="G28" s="5" t="inlineStr"/>
      <c r="H28" s="5" t="inlineStr"/>
      <c r="I28" s="5" t="inlineStr"/>
      <c r="J28" s="5" t="inlineStr">
        <is>
          <t>(844) 438 98 01</t>
        </is>
      </c>
      <c r="K28" s="5" t="inlineStr">
        <is>
          <t>Saltillo</t>
        </is>
      </c>
      <c r="L28" s="5" t="inlineStr"/>
      <c r="M28" s="6" t="inlineStr">
        <is>
          <t>https://www.sspcoahuila.gob.mx/directorioSSP.html</t>
        </is>
      </c>
      <c r="N28" s="5" t="inlineStr">
        <is>
          <t>Alta</t>
        </is>
      </c>
      <c r="O28" s="5" t="inlineStr"/>
      <c r="P28" s="7" t="inlineStr"/>
      <c r="Q28" s="7" t="inlineStr"/>
      <c r="R28" s="7" t="inlineStr"/>
    </row>
    <row r="29">
      <c r="A29" s="5" t="n">
        <v>28</v>
      </c>
      <c r="B29" s="5" t="inlineStr">
        <is>
          <t>Maestría DATESP</t>
        </is>
      </c>
      <c r="C29" s="5" t="inlineStr">
        <is>
          <t>Seguridad estatal</t>
        </is>
      </c>
      <c r="D29" s="5" t="inlineStr">
        <is>
          <t>Alta</t>
        </is>
      </c>
      <c r="E29" s="5" t="inlineStr">
        <is>
          <t>Secretariado Ejecutivo del Sistema Estatal de Seguridad Pública</t>
        </is>
      </c>
      <c r="F29" s="5" t="inlineStr">
        <is>
          <t>Contacto general</t>
        </is>
      </c>
      <c r="G29" s="5" t="inlineStr"/>
      <c r="H29" s="5" t="inlineStr"/>
      <c r="I29" s="5" t="inlineStr"/>
      <c r="J29" s="5" t="inlineStr">
        <is>
          <t>(844) 438 98 00</t>
        </is>
      </c>
      <c r="K29" s="5" t="inlineStr">
        <is>
          <t>Saltillo</t>
        </is>
      </c>
      <c r="L29" s="5" t="inlineStr">
        <is>
          <t>Perif. Luis Echeverría Álvarez 5402 Int. 1, Centro Metropolitano, C.P. 25050</t>
        </is>
      </c>
      <c r="M29" s="6" t="inlineStr">
        <is>
          <t>http://www.secespcoahuila.gob.mx/</t>
        </is>
      </c>
      <c r="N29" s="5" t="inlineStr">
        <is>
          <t>Media</t>
        </is>
      </c>
      <c r="O29" s="5" t="inlineStr">
        <is>
          <t>Maneja profesionalización y fondos FASP: clave para becas/convenios.</t>
        </is>
      </c>
      <c r="P29" s="7" t="inlineStr"/>
      <c r="Q29" s="7" t="inlineStr"/>
      <c r="R29" s="7" t="inlineStr"/>
    </row>
    <row r="30">
      <c r="A30" s="5" t="n">
        <v>29</v>
      </c>
      <c r="B30" s="5" t="inlineStr">
        <is>
          <t>Maestría DATESP</t>
        </is>
      </c>
      <c r="C30" s="5" t="inlineStr">
        <is>
          <t>Formación policial</t>
        </is>
      </c>
      <c r="D30" s="5" t="inlineStr">
        <is>
          <t>Alta</t>
        </is>
      </c>
      <c r="E30" s="5" t="inlineStr">
        <is>
          <t>Universidad de Ciencias de la Seguridad – Campus Ramos Arizpe (Academia de Policía)</t>
        </is>
      </c>
      <c r="F30" s="5" t="inlineStr">
        <is>
          <t>Dirección</t>
        </is>
      </c>
      <c r="G30" s="5" t="inlineStr"/>
      <c r="H30" s="5" t="inlineStr"/>
      <c r="I30" s="6" t="inlineStr">
        <is>
          <t>usc.direccion2021@gmail.com</t>
        </is>
      </c>
      <c r="J30" s="5" t="inlineStr">
        <is>
          <t>(844) 438 06 99</t>
        </is>
      </c>
      <c r="K30" s="5" t="inlineStr">
        <is>
          <t>Ramos Arizpe</t>
        </is>
      </c>
      <c r="L30" s="5" t="inlineStr">
        <is>
          <t>Av. Industria de la Transformación s/n, Parque Industrial Ramos Arizpe, C.P. 25903</t>
        </is>
      </c>
      <c r="M30" s="6" t="inlineStr">
        <is>
          <t>https://sic.cultura.gob.mx/ficha.php?table=universidad&amp;table_id=3256</t>
        </is>
      </c>
      <c r="N30" s="5" t="inlineStr">
        <is>
          <t>Media</t>
        </is>
      </c>
      <c r="O30" s="5" t="inlineStr">
        <is>
          <t>Correo Gmail publicado como institucional; confirmar por teléfono.</t>
        </is>
      </c>
      <c r="P30" s="7" t="inlineStr"/>
      <c r="Q30" s="7" t="inlineStr"/>
      <c r="R30" s="7" t="inlineStr"/>
    </row>
    <row r="31">
      <c r="A31" s="5" t="n">
        <v>30</v>
      </c>
      <c r="B31" s="5" t="inlineStr">
        <is>
          <t>Maestría DATESP</t>
        </is>
      </c>
      <c r="C31" s="5" t="inlineStr">
        <is>
          <t>Formación policial</t>
        </is>
      </c>
      <c r="D31" s="5" t="inlineStr">
        <is>
          <t>Media</t>
        </is>
      </c>
      <c r="E31" s="5" t="inlineStr">
        <is>
          <t>Academia de Policía – Sede Matamoros</t>
        </is>
      </c>
      <c r="F31" s="5" t="inlineStr">
        <is>
          <t>Contacto</t>
        </is>
      </c>
      <c r="G31" s="5" t="inlineStr"/>
      <c r="H31" s="5" t="inlineStr"/>
      <c r="I31" s="5" t="inlineStr"/>
      <c r="J31" s="5" t="inlineStr">
        <is>
          <t>(871) 757 00 61</t>
        </is>
      </c>
      <c r="K31" s="5" t="inlineStr">
        <is>
          <t>Matamoros</t>
        </is>
      </c>
      <c r="L31" s="5" t="inlineStr">
        <is>
          <t>Carretera Torreón-Matamoros km 7.5, Ejido San Miguel</t>
        </is>
      </c>
      <c r="M31" s="6" t="inlineStr">
        <is>
          <t>https://www.elsiglodetorreon.com.mx/noticia/2025/iniciaran-academias-de-policia-en-todo-coahuila.html</t>
        </is>
      </c>
      <c r="N31" s="5" t="inlineStr">
        <is>
          <t>Media</t>
        </is>
      </c>
      <c r="O31" s="5" t="inlineStr"/>
      <c r="P31" s="7" t="inlineStr"/>
      <c r="Q31" s="7" t="inlineStr"/>
      <c r="R31" s="7" t="inlineStr"/>
    </row>
    <row r="32">
      <c r="A32" s="5" t="n">
        <v>31</v>
      </c>
      <c r="B32" s="5" t="inlineStr">
        <is>
          <t>Maestría DATESP</t>
        </is>
      </c>
      <c r="C32" s="5" t="inlineStr">
        <is>
          <t>Seguridad municipal</t>
        </is>
      </c>
      <c r="D32" s="5" t="inlineStr">
        <is>
          <t>Alta</t>
        </is>
      </c>
      <c r="E32" s="5" t="inlineStr">
        <is>
          <t>Comisaría de Seguridad y Protección Ciudadana de Saltillo</t>
        </is>
      </c>
      <c r="F32" s="5" t="inlineStr">
        <is>
          <t>Contacto general</t>
        </is>
      </c>
      <c r="G32" s="5" t="inlineStr"/>
      <c r="H32" s="5" t="inlineStr"/>
      <c r="I32" s="5" t="inlineStr"/>
      <c r="J32" s="5" t="inlineStr">
        <is>
          <t>(844) 481 89 30</t>
        </is>
      </c>
      <c r="K32" s="5" t="inlineStr">
        <is>
          <t>Saltillo</t>
        </is>
      </c>
      <c r="L32" s="5" t="inlineStr">
        <is>
          <t>Periférico LEA y Blvd. Pérez Treviño s/n, Col. San Ramón</t>
        </is>
      </c>
      <c r="M32" s="6" t="inlineStr">
        <is>
          <t>https://www.comisariadeseguridadsaltillo.gob.mx/contacto</t>
        </is>
      </c>
      <c r="N32" s="5" t="inlineStr">
        <is>
          <t>Media</t>
        </is>
      </c>
      <c r="O32" s="5" t="inlineStr"/>
      <c r="P32" s="7" t="inlineStr"/>
      <c r="Q32" s="7" t="inlineStr"/>
      <c r="R32" s="7" t="inlineStr"/>
    </row>
    <row r="33">
      <c r="A33" s="5" t="n">
        <v>32</v>
      </c>
      <c r="B33" s="5" t="inlineStr">
        <is>
          <t>Maestría DATESP</t>
        </is>
      </c>
      <c r="C33" s="5" t="inlineStr">
        <is>
          <t>Seguridad municipal</t>
        </is>
      </c>
      <c r="D33" s="5" t="inlineStr">
        <is>
          <t>Alta</t>
        </is>
      </c>
      <c r="E33" s="5" t="inlineStr">
        <is>
          <t>Dirección de Seguridad Pública Municipal de Torreón</t>
        </is>
      </c>
      <c r="F33" s="5" t="inlineStr">
        <is>
          <t>Contacto general</t>
        </is>
      </c>
      <c r="G33" s="5" t="inlineStr"/>
      <c r="H33" s="5" t="inlineStr"/>
      <c r="I33" s="5" t="inlineStr"/>
      <c r="J33" s="5" t="inlineStr">
        <is>
          <t>(871) 729 00 99</t>
        </is>
      </c>
      <c r="K33" s="5" t="inlineStr">
        <is>
          <t>Torreón</t>
        </is>
      </c>
      <c r="L33" s="5" t="inlineStr">
        <is>
          <t>Periférico Raúl López Sánchez y Av. Bravo s/n, Col. La Amistad</t>
        </is>
      </c>
      <c r="M33" s="6" t="inlineStr">
        <is>
          <t>http://policia.torreon.gob.mx/</t>
        </is>
      </c>
      <c r="N33" s="5" t="inlineStr">
        <is>
          <t>Media</t>
        </is>
      </c>
      <c r="O33" s="5" t="inlineStr"/>
      <c r="P33" s="7" t="inlineStr"/>
      <c r="Q33" s="7" t="inlineStr"/>
      <c r="R33" s="7" t="inlineStr"/>
    </row>
    <row r="34">
      <c r="A34" s="5" t="n">
        <v>33</v>
      </c>
      <c r="B34" s="5" t="inlineStr">
        <is>
          <t>Maestría DATESP</t>
        </is>
      </c>
      <c r="C34" s="5" t="inlineStr">
        <is>
          <t>Medio ambiente estatal</t>
        </is>
      </c>
      <c r="D34" s="5" t="inlineStr">
        <is>
          <t>Alta</t>
        </is>
      </c>
      <c r="E34" s="5" t="inlineStr">
        <is>
          <t>Secretaría de Medio Ambiente de Coahuila (SMA)</t>
        </is>
      </c>
      <c r="F34" s="5" t="inlineStr">
        <is>
          <t>Buzón general</t>
        </is>
      </c>
      <c r="G34" s="5" t="inlineStr"/>
      <c r="H34" s="5" t="inlineStr"/>
      <c r="I34" s="6" t="inlineStr">
        <is>
          <t>buzon@sma.gob.mx</t>
        </is>
      </c>
      <c r="J34" s="5" t="inlineStr">
        <is>
          <t>(844) 698 10 98 / 698 10 91 / 698 10 92</t>
        </is>
      </c>
      <c r="K34" s="5" t="inlineStr">
        <is>
          <t>Saltillo</t>
        </is>
      </c>
      <c r="L34" s="5" t="inlineStr">
        <is>
          <t>Centro de Gobierno 2º piso, Carr. 57 y Blvd. Centenario de Torreón, C.P. 25294</t>
        </is>
      </c>
      <c r="M34" s="6" t="inlineStr">
        <is>
          <t>https://sma.gob.mx/</t>
        </is>
      </c>
      <c r="N34" s="5" t="inlineStr">
        <is>
          <t>Alta</t>
        </is>
      </c>
      <c r="O34" s="5" t="inlineStr"/>
      <c r="P34" s="7" t="inlineStr"/>
      <c r="Q34" s="7" t="inlineStr"/>
      <c r="R34" s="7" t="inlineStr"/>
    </row>
    <row r="35">
      <c r="A35" s="5" t="n">
        <v>34</v>
      </c>
      <c r="B35" s="5" t="inlineStr">
        <is>
          <t>Maestría DATESP</t>
        </is>
      </c>
      <c r="C35" s="5" t="inlineStr">
        <is>
          <t>Medio ambiente estatal</t>
        </is>
      </c>
      <c r="D35" s="5" t="inlineStr">
        <is>
          <t>Alta</t>
        </is>
      </c>
      <c r="E35" s="5" t="inlineStr">
        <is>
          <t>Secretaría de Medio Ambiente de Coahuila (SMA)</t>
        </is>
      </c>
      <c r="F35" s="5" t="inlineStr">
        <is>
          <t>Subsecretaría de Recursos Naturales</t>
        </is>
      </c>
      <c r="G35" s="5" t="inlineStr">
        <is>
          <t>Olga Leticia Rumayor Rodríguez</t>
        </is>
      </c>
      <c r="H35" s="5" t="inlineStr">
        <is>
          <t>Subsecretaria</t>
        </is>
      </c>
      <c r="I35" s="6" t="inlineStr">
        <is>
          <t>olga.rumayor@coahuila.gob.mx</t>
        </is>
      </c>
      <c r="J35" s="5" t="inlineStr">
        <is>
          <t>(844) 698 10 98 ext. 7250</t>
        </is>
      </c>
      <c r="K35" s="5" t="inlineStr">
        <is>
          <t>Saltillo</t>
        </is>
      </c>
      <c r="L35" s="5" t="inlineStr">
        <is>
          <t>Centro de Gobierno 2º piso</t>
        </is>
      </c>
      <c r="M35" s="6" t="inlineStr">
        <is>
          <t>https://sma.gob.mx/wp-content/uploads/2026/06/IIIDIRECTORIO-JUNIO.pdf</t>
        </is>
      </c>
      <c r="N35" s="5" t="inlineStr">
        <is>
          <t>Alta</t>
        </is>
      </c>
      <c r="O35" s="5" t="inlineStr">
        <is>
          <t>Directorio oficial de junio 2026.</t>
        </is>
      </c>
      <c r="P35" s="7" t="inlineStr"/>
      <c r="Q35" s="7" t="inlineStr"/>
      <c r="R35" s="7" t="inlineStr"/>
    </row>
    <row r="36">
      <c r="A36" s="5" t="n">
        <v>35</v>
      </c>
      <c r="B36" s="5" t="inlineStr">
        <is>
          <t>Maestría DATESP</t>
        </is>
      </c>
      <c r="C36" s="5" t="inlineStr">
        <is>
          <t>Medio ambiente estatal</t>
        </is>
      </c>
      <c r="D36" s="5" t="inlineStr">
        <is>
          <t>Alta</t>
        </is>
      </c>
      <c r="E36" s="5" t="inlineStr">
        <is>
          <t>Secretaría de Medio Ambiente de Coahuila (SMA)</t>
        </is>
      </c>
      <c r="F36" s="5" t="inlineStr">
        <is>
          <t>Subsecretaría de Gestión Ambiental</t>
        </is>
      </c>
      <c r="G36" s="5" t="inlineStr">
        <is>
          <t>Santiago Barrios Rosillo</t>
        </is>
      </c>
      <c r="H36" s="5" t="inlineStr">
        <is>
          <t>Subsecretario</t>
        </is>
      </c>
      <c r="I36" s="6" t="inlineStr">
        <is>
          <t>santiago.barrios@coahuila.gob.mx</t>
        </is>
      </c>
      <c r="J36" s="5" t="inlineStr">
        <is>
          <t>(844) 698 10 98 ext. 7252</t>
        </is>
      </c>
      <c r="K36" s="5" t="inlineStr">
        <is>
          <t>Saltillo</t>
        </is>
      </c>
      <c r="L36" s="5" t="inlineStr">
        <is>
          <t>Centro de Gobierno 2º piso</t>
        </is>
      </c>
      <c r="M36" s="6" t="inlineStr">
        <is>
          <t>https://sma.gob.mx/wp-content/uploads/2026/06/IIIDIRECTORIO-JUNIO.pdf</t>
        </is>
      </c>
      <c r="N36" s="5" t="inlineStr">
        <is>
          <t>Alta</t>
        </is>
      </c>
      <c r="O36" s="5" t="inlineStr">
        <is>
          <t>Directorio oficial de junio 2026.</t>
        </is>
      </c>
      <c r="P36" s="7" t="inlineStr"/>
      <c r="Q36" s="7" t="inlineStr"/>
      <c r="R36" s="7" t="inlineStr"/>
    </row>
    <row r="37">
      <c r="A37" s="5" t="n">
        <v>36</v>
      </c>
      <c r="B37" s="5" t="inlineStr">
        <is>
          <t>Maestría DATESP</t>
        </is>
      </c>
      <c r="C37" s="5" t="inlineStr">
        <is>
          <t>Medio ambiente estatal</t>
        </is>
      </c>
      <c r="D37" s="5" t="inlineStr">
        <is>
          <t>Alta</t>
        </is>
      </c>
      <c r="E37" s="5" t="inlineStr">
        <is>
          <t>Procuraduría de Protección al Ambiente del Estado de Coahuila (PROPAEC)</t>
        </is>
      </c>
      <c r="F37" s="5" t="inlineStr">
        <is>
          <t>Contacto general</t>
        </is>
      </c>
      <c r="G37" s="5" t="inlineStr"/>
      <c r="H37" s="5" t="inlineStr"/>
      <c r="I37" s="5" t="inlineStr"/>
      <c r="J37" s="5" t="inlineStr">
        <is>
          <t>(844) 698 10 88</t>
        </is>
      </c>
      <c r="K37" s="5" t="inlineStr">
        <is>
          <t>Saltillo</t>
        </is>
      </c>
      <c r="L37" s="5" t="inlineStr">
        <is>
          <t>Centro de Gobierno 2º piso, Carr. 57 km 6.5</t>
        </is>
      </c>
      <c r="M37" s="6" t="inlineStr">
        <is>
          <t>https://mexicoindustry.com/empresa/procuraduria-de-proteccion-al-ambiente-del-estado-de-coahuila</t>
        </is>
      </c>
      <c r="N37" s="5" t="inlineStr">
        <is>
          <t>Media</t>
        </is>
      </c>
      <c r="O37" s="5" t="inlineStr">
        <is>
          <t>Inspección ambiental estatal.</t>
        </is>
      </c>
      <c r="P37" s="7" t="inlineStr"/>
      <c r="Q37" s="7" t="inlineStr"/>
      <c r="R37" s="7" t="inlineStr"/>
    </row>
    <row r="38">
      <c r="A38" s="5" t="n">
        <v>37</v>
      </c>
      <c r="B38" s="5" t="inlineStr">
        <is>
          <t>Maestría DATESP</t>
        </is>
      </c>
      <c r="C38" s="5" t="inlineStr">
        <is>
          <t>Medio ambiente federal</t>
        </is>
      </c>
      <c r="D38" s="5" t="inlineStr">
        <is>
          <t>Alta</t>
        </is>
      </c>
      <c r="E38" s="5" t="inlineStr">
        <is>
          <t>PROFEPA – Oficina de Representación Coahuila</t>
        </is>
      </c>
      <c r="F38" s="5" t="inlineStr">
        <is>
          <t>Encargado de despacho</t>
        </is>
      </c>
      <c r="G38" s="5" t="inlineStr">
        <is>
          <t>Raúl Alejandro Araiza Vargas</t>
        </is>
      </c>
      <c r="H38" s="5" t="inlineStr">
        <is>
          <t>Encargado de despacho</t>
        </is>
      </c>
      <c r="I38" s="6" t="inlineStr">
        <is>
          <t>raul.araiza@profepa.gob.mx</t>
        </is>
      </c>
      <c r="J38" s="5" t="inlineStr">
        <is>
          <t>(844) 485 09 83 ext. 18305</t>
        </is>
      </c>
      <c r="K38" s="5" t="inlineStr">
        <is>
          <t>Saltillo</t>
        </is>
      </c>
      <c r="L38" s="5" t="inlineStr">
        <is>
          <t>Dr. Lázaro Benavides 835 Nte., Fracc. Nueva España, C.P. 25210</t>
        </is>
      </c>
      <c r="M38" s="6" t="inlineStr">
        <is>
          <t>https://ventanillaunica.economia.gob.mx/media/Directorio%20oficinas%20de%20representaci%C3%B3n%20PROFEPA.pdf</t>
        </is>
      </c>
      <c r="N38" s="5" t="inlineStr">
        <is>
          <t>Media</t>
        </is>
      </c>
      <c r="O38" s="5" t="inlineStr">
        <is>
          <t>Directorio de 2024; el titular pudo cambiar.</t>
        </is>
      </c>
      <c r="P38" s="7" t="inlineStr"/>
      <c r="Q38" s="7" t="inlineStr"/>
      <c r="R38" s="7" t="inlineStr"/>
    </row>
    <row r="39">
      <c r="A39" s="5" t="n">
        <v>38</v>
      </c>
      <c r="B39" s="5" t="inlineStr">
        <is>
          <t>Maestría DATESP</t>
        </is>
      </c>
      <c r="C39" s="5" t="inlineStr">
        <is>
          <t>Medio ambiente federal</t>
        </is>
      </c>
      <c r="D39" s="5" t="inlineStr">
        <is>
          <t>Media</t>
        </is>
      </c>
      <c r="E39" s="5" t="inlineStr">
        <is>
          <t>SEMARNAT – Oficina de Representación Coahuila</t>
        </is>
      </c>
      <c r="F39" s="5" t="inlineStr">
        <is>
          <t>Contacto ciudadano</t>
        </is>
      </c>
      <c r="G39" s="5" t="inlineStr"/>
      <c r="H39" s="5" t="inlineStr"/>
      <c r="I39" s="6" t="inlineStr">
        <is>
          <t>contacto.ciudadano@semarnat.gob.mx</t>
        </is>
      </c>
      <c r="J39" s="5" t="inlineStr">
        <is>
          <t>(844) 439 17 23 / 55 5490 0900 ext. 38401</t>
        </is>
      </c>
      <c r="K39" s="5" t="inlineStr">
        <is>
          <t>Saltillo</t>
        </is>
      </c>
      <c r="L39" s="5" t="inlineStr">
        <is>
          <t>Blvd. Saltillo 509, Col. República Oriente, C.P. 25280 (verificar)</t>
        </is>
      </c>
      <c r="M39" s="6" t="inlineStr">
        <is>
          <t>https://www.gob.mx/semarnat/acciones-y-programas/directorio-semarnat</t>
        </is>
      </c>
      <c r="N39" s="5" t="inlineStr">
        <is>
          <t>Media</t>
        </is>
      </c>
      <c r="O39" s="5" t="inlineStr">
        <is>
          <t>Correo nacional; pedir el de la oficina en Coahuila.</t>
        </is>
      </c>
      <c r="P39" s="7" t="inlineStr"/>
      <c r="Q39" s="7" t="inlineStr"/>
      <c r="R39" s="7" t="inlineStr"/>
    </row>
    <row r="40">
      <c r="A40" s="5" t="n">
        <v>39</v>
      </c>
      <c r="B40" s="5" t="inlineStr">
        <is>
          <t>Maestría DATESP</t>
        </is>
      </c>
      <c r="C40" s="5" t="inlineStr">
        <is>
          <t>Medio ambiente federal</t>
        </is>
      </c>
      <c r="D40" s="5" t="inlineStr">
        <is>
          <t>Media</t>
        </is>
      </c>
      <c r="E40" s="5" t="inlineStr">
        <is>
          <t>CONAGUA – Dirección Local Coahuila</t>
        </is>
      </c>
      <c r="F40" s="5" t="inlineStr">
        <is>
          <t>Contacto</t>
        </is>
      </c>
      <c r="G40" s="5" t="inlineStr"/>
      <c r="H40" s="5" t="inlineStr"/>
      <c r="I40" s="5" t="inlineStr"/>
      <c r="J40" s="5" t="inlineStr">
        <is>
          <t>(844) 171 51 60 ext. 110</t>
        </is>
      </c>
      <c r="K40" s="5" t="inlineStr">
        <is>
          <t>Saltillo</t>
        </is>
      </c>
      <c r="L40" s="5" t="inlineStr">
        <is>
          <t>Carr. 57 km 7.5 s/n, Col. El Sauz, C.P. 25294</t>
        </is>
      </c>
      <c r="M40" s="6" t="inlineStr">
        <is>
          <t>https://pnt.conagua.gob.mx/pnt/sgih-gdr/RO/Directorio_UR.pdf</t>
        </is>
      </c>
      <c r="N40" s="5" t="inlineStr">
        <is>
          <t>Media</t>
        </is>
      </c>
      <c r="O40" s="5" t="inlineStr">
        <is>
          <t>También hay oficina en Torreón (Calz. Manuel Ávila Camacho 2777 Ote.).</t>
        </is>
      </c>
      <c r="P40" s="7" t="inlineStr"/>
      <c r="Q40" s="7" t="inlineStr"/>
      <c r="R40" s="7" t="inlineStr"/>
    </row>
    <row r="41">
      <c r="A41" s="5" t="n">
        <v>40</v>
      </c>
      <c r="B41" s="5" t="inlineStr">
        <is>
          <t>Maestría DATESP</t>
        </is>
      </c>
      <c r="C41" s="5" t="inlineStr">
        <is>
          <t>Medio ambiente federal</t>
        </is>
      </c>
      <c r="D41" s="5" t="inlineStr">
        <is>
          <t>Media</t>
        </is>
      </c>
      <c r="E41" s="5" t="inlineStr">
        <is>
          <t>CONANP – APFF Cuatrociénegas</t>
        </is>
      </c>
      <c r="F41" s="5" t="inlineStr">
        <is>
          <t>Dirección del ANP</t>
        </is>
      </c>
      <c r="G41" s="5" t="inlineStr">
        <is>
          <t>Juan Carlos Ibarra Flores</t>
        </is>
      </c>
      <c r="H41" s="5" t="inlineStr">
        <is>
          <t>Director</t>
        </is>
      </c>
      <c r="I41" s="6" t="inlineStr">
        <is>
          <t>cienegas@conanp.gob.mx</t>
        </is>
      </c>
      <c r="J41" s="5" t="inlineStr">
        <is>
          <t>(869) 696 09 87</t>
        </is>
      </c>
      <c r="K41" s="5" t="inlineStr">
        <is>
          <t>Cuatro Ciénegas</t>
        </is>
      </c>
      <c r="L41" s="5" t="inlineStr">
        <is>
          <t>Escobedo 200 Pte., Centro, C.P. 27640</t>
        </is>
      </c>
      <c r="M41" s="6" t="inlineStr">
        <is>
          <t>https://www.conanp.gob.mx/anp/consulta/anps.pdf</t>
        </is>
      </c>
      <c r="N41" s="5" t="inlineStr">
        <is>
          <t>Media</t>
        </is>
      </c>
      <c r="O41" s="5" t="inlineStr">
        <is>
          <t>Titular por confirmar; otro correo publicado: jibarra@conanp.gob.mx</t>
        </is>
      </c>
      <c r="P41" s="7" t="inlineStr"/>
      <c r="Q41" s="7" t="inlineStr"/>
      <c r="R41" s="7" t="inlineStr"/>
    </row>
    <row r="42">
      <c r="A42" s="5" t="n">
        <v>41</v>
      </c>
      <c r="B42" s="5" t="inlineStr">
        <is>
          <t>Maestría DATESP</t>
        </is>
      </c>
      <c r="C42" s="5" t="inlineStr">
        <is>
          <t>Medio ambiente municipal</t>
        </is>
      </c>
      <c r="D42" s="5" t="inlineStr">
        <is>
          <t>Alta</t>
        </is>
      </c>
      <c r="E42" s="5" t="inlineStr">
        <is>
          <t>Municipio de Saltillo</t>
        </is>
      </c>
      <c r="F42" s="5" t="inlineStr">
        <is>
          <t>Dirección de Medio Ambiente y Desarrollo Sustentable</t>
        </is>
      </c>
      <c r="G42" s="5" t="inlineStr"/>
      <c r="H42" s="5" t="inlineStr"/>
      <c r="I42" s="6" t="inlineStr">
        <is>
          <t>medioambiente@saltillo.gob.mx</t>
        </is>
      </c>
      <c r="J42" s="5" t="inlineStr">
        <is>
          <t>(844) 438 25 00 / 414 49 29</t>
        </is>
      </c>
      <c r="K42" s="5" t="inlineStr">
        <is>
          <t>Saltillo</t>
        </is>
      </c>
      <c r="L42" s="5" t="inlineStr">
        <is>
          <t>Presidente Cárdenas 840 esq. Guillermo Purcell, Zona Centro</t>
        </is>
      </c>
      <c r="M42" s="6" t="inlineStr">
        <is>
          <t>https://saltillo.gob.mx/dependencias/medio-ambiente-y-desarrollo-sustentable/</t>
        </is>
      </c>
      <c r="N42" s="5" t="inlineStr">
        <is>
          <t>Alta</t>
        </is>
      </c>
      <c r="O42" s="5" t="inlineStr"/>
      <c r="P42" s="7" t="inlineStr"/>
      <c r="Q42" s="7" t="inlineStr"/>
      <c r="R42" s="7" t="inlineStr"/>
    </row>
    <row r="43">
      <c r="A43" s="5" t="n">
        <v>42</v>
      </c>
      <c r="B43" s="5" t="inlineStr">
        <is>
          <t>Maestría DATESP</t>
        </is>
      </c>
      <c r="C43" s="5" t="inlineStr">
        <is>
          <t>Medio ambiente municipal</t>
        </is>
      </c>
      <c r="D43" s="5" t="inlineStr">
        <is>
          <t>Alta</t>
        </is>
      </c>
      <c r="E43" s="5" t="inlineStr">
        <is>
          <t>Municipio de Torreón</t>
        </is>
      </c>
      <c r="F43" s="5" t="inlineStr">
        <is>
          <t>Dirección General de Medio Ambiente</t>
        </is>
      </c>
      <c r="G43" s="5" t="inlineStr"/>
      <c r="H43" s="5" t="inlineStr"/>
      <c r="I43" s="6" t="inlineStr">
        <is>
          <t>medioambientetorreon@gmail.com</t>
        </is>
      </c>
      <c r="J43" s="5" t="inlineStr">
        <is>
          <t>(871) 500 70 00 ext. 1437</t>
        </is>
      </c>
      <c r="K43" s="5" t="inlineStr">
        <is>
          <t>Torreón</t>
        </is>
      </c>
      <c r="L43" s="5" t="inlineStr">
        <is>
          <t>Allende 333, Centro</t>
        </is>
      </c>
      <c r="M43" s="6" t="inlineStr">
        <is>
          <t>https://www.torreon.gob.mx/medioambiente/vigilancia.html</t>
        </is>
      </c>
      <c r="N43" s="5" t="inlineStr">
        <is>
          <t>Media</t>
        </is>
      </c>
      <c r="O43" s="5" t="inlineStr">
        <is>
          <t>Correo Gmail publicado por el municipio.</t>
        </is>
      </c>
      <c r="P43" s="7" t="inlineStr"/>
      <c r="Q43" s="7" t="inlineStr"/>
      <c r="R43" s="7" t="inlineStr"/>
    </row>
    <row r="44">
      <c r="A44" s="5" t="n">
        <v>43</v>
      </c>
      <c r="B44" s="5" t="inlineStr">
        <is>
          <t>Maestría DATESP</t>
        </is>
      </c>
      <c r="C44" s="5" t="inlineStr">
        <is>
          <t>Agua</t>
        </is>
      </c>
      <c r="D44" s="5" t="inlineStr">
        <is>
          <t>Baja</t>
        </is>
      </c>
      <c r="E44" s="5" t="inlineStr">
        <is>
          <t>Aguas de Saltillo</t>
        </is>
      </c>
      <c r="F44" s="5" t="inlineStr">
        <is>
          <t>Atención a clientes</t>
        </is>
      </c>
      <c r="G44" s="5" t="inlineStr"/>
      <c r="H44" s="5" t="inlineStr"/>
      <c r="I44" s="5" t="inlineStr"/>
      <c r="J44" s="5" t="inlineStr">
        <is>
          <t>073 / (844) 438 01 99</t>
        </is>
      </c>
      <c r="K44" s="5" t="inlineStr">
        <is>
          <t>Saltillo</t>
        </is>
      </c>
      <c r="L44" s="5" t="inlineStr"/>
      <c r="M44" s="6" t="inlineStr">
        <is>
          <t>https://www.aguasdesaltillo.com/contacto/</t>
        </is>
      </c>
      <c r="N44" s="5" t="inlineStr">
        <is>
          <t>Media</t>
        </is>
      </c>
      <c r="O44" s="5" t="inlineStr">
        <is>
          <t>Pedir área de recursos humanos/capacitación.</t>
        </is>
      </c>
      <c r="P44" s="7" t="inlineStr"/>
      <c r="Q44" s="7" t="inlineStr"/>
      <c r="R44" s="7" t="inlineStr"/>
    </row>
    <row r="45">
      <c r="A45" s="5" t="n">
        <v>44</v>
      </c>
      <c r="B45" s="5" t="inlineStr">
        <is>
          <t>Maestría DATESP</t>
        </is>
      </c>
      <c r="C45" s="5" t="inlineStr">
        <is>
          <t>Agua</t>
        </is>
      </c>
      <c r="D45" s="5" t="inlineStr">
        <is>
          <t>Baja</t>
        </is>
      </c>
      <c r="E45" s="5" t="inlineStr">
        <is>
          <t>SIMAS Torreón</t>
        </is>
      </c>
      <c r="F45" s="5" t="inlineStr">
        <is>
          <t>Oficinas centrales</t>
        </is>
      </c>
      <c r="G45" s="5" t="inlineStr"/>
      <c r="H45" s="5" t="inlineStr"/>
      <c r="I45" s="5" t="inlineStr"/>
      <c r="J45" s="5" t="inlineStr">
        <is>
          <t>(871) 749 17 00</t>
        </is>
      </c>
      <c r="K45" s="5" t="inlineStr">
        <is>
          <t>Torreón</t>
        </is>
      </c>
      <c r="L45" s="5" t="inlineStr">
        <is>
          <t>Blvd. Independencia 308, Centro</t>
        </is>
      </c>
      <c r="M45" s="6" t="inlineStr">
        <is>
          <t>https://www.simastorreon.gob.mx/simas.php</t>
        </is>
      </c>
      <c r="N45" s="5" t="inlineStr">
        <is>
          <t>Media</t>
        </is>
      </c>
      <c r="O45" s="5" t="inlineStr"/>
      <c r="P45" s="7" t="inlineStr"/>
      <c r="Q45" s="7" t="inlineStr"/>
      <c r="R45" s="7" t="inlineStr"/>
    </row>
    <row r="46">
      <c r="A46" s="5" t="n">
        <v>45</v>
      </c>
      <c r="B46" s="5" t="inlineStr">
        <is>
          <t>Ambos</t>
        </is>
      </c>
      <c r="C46" s="5" t="inlineStr">
        <is>
          <t>Municipal</t>
        </is>
      </c>
      <c r="D46" s="5" t="inlineStr">
        <is>
          <t>Alta</t>
        </is>
      </c>
      <c r="E46" s="5" t="inlineStr">
        <is>
          <t>Municipio de Saltillo</t>
        </is>
      </c>
      <c r="F46" s="5" t="inlineStr">
        <is>
          <t>Presidencia Municipal</t>
        </is>
      </c>
      <c r="G46" s="5" t="inlineStr"/>
      <c r="H46" s="5" t="inlineStr"/>
      <c r="I46" s="5" t="inlineStr"/>
      <c r="J46" s="5" t="inlineStr">
        <is>
          <t>(844) 438 26 05</t>
        </is>
      </c>
      <c r="K46" s="5" t="inlineStr">
        <is>
          <t>Saltillo</t>
        </is>
      </c>
      <c r="L46" s="5" t="inlineStr">
        <is>
          <t>Blvd. Francisco Coss 745, C.P. 25000</t>
        </is>
      </c>
      <c r="M46" s="6" t="inlineStr">
        <is>
          <t>https://saltillo.gob.mx/dependencias/atencion-ciudadana/</t>
        </is>
      </c>
      <c r="N46" s="5" t="inlineStr">
        <is>
          <t>Media</t>
        </is>
      </c>
      <c r="O46" s="5" t="inlineStr">
        <is>
          <t>Pedir Secretaría del Ayuntamiento / cabildo.</t>
        </is>
      </c>
      <c r="P46" s="7" t="inlineStr"/>
      <c r="Q46" s="7" t="inlineStr"/>
      <c r="R46" s="7" t="inlineStr"/>
    </row>
    <row r="47">
      <c r="A47" s="5" t="n">
        <v>46</v>
      </c>
      <c r="B47" s="5" t="inlineStr">
        <is>
          <t>Ambos</t>
        </is>
      </c>
      <c r="C47" s="5" t="inlineStr">
        <is>
          <t>Municipal</t>
        </is>
      </c>
      <c r="D47" s="5" t="inlineStr">
        <is>
          <t>Alta</t>
        </is>
      </c>
      <c r="E47" s="5" t="inlineStr">
        <is>
          <t>Municipio de Torreón</t>
        </is>
      </c>
      <c r="F47" s="5" t="inlineStr">
        <is>
          <t>Presidencia Municipal</t>
        </is>
      </c>
      <c r="G47" s="5" t="inlineStr"/>
      <c r="H47" s="5" t="inlineStr"/>
      <c r="I47" s="5" t="inlineStr"/>
      <c r="J47" s="5" t="inlineStr">
        <is>
          <t>(871) 500 70 00 ext. 1304 / 1334</t>
        </is>
      </c>
      <c r="K47" s="5" t="inlineStr">
        <is>
          <t>Torreón</t>
        </is>
      </c>
      <c r="L47" s="5" t="inlineStr">
        <is>
          <t>Av. Allende 333 Pte., Centro, C.P. 27000</t>
        </is>
      </c>
      <c r="M47" s="6" t="inlineStr">
        <is>
          <t>https://www.torreon.gob.mx/</t>
        </is>
      </c>
      <c r="N47" s="5" t="inlineStr">
        <is>
          <t>Media</t>
        </is>
      </c>
      <c r="O47" s="5" t="inlineStr">
        <is>
          <t>Cabildo de 17 regidores + síndico.</t>
        </is>
      </c>
      <c r="P47" s="7" t="inlineStr"/>
      <c r="Q47" s="7" t="inlineStr"/>
      <c r="R47" s="7" t="inlineStr"/>
    </row>
    <row r="48">
      <c r="A48" s="5" t="n">
        <v>47</v>
      </c>
      <c r="B48" s="5" t="inlineStr">
        <is>
          <t>Ambos</t>
        </is>
      </c>
      <c r="C48" s="5" t="inlineStr">
        <is>
          <t>Municipal</t>
        </is>
      </c>
      <c r="D48" s="5" t="inlineStr">
        <is>
          <t>Media</t>
        </is>
      </c>
      <c r="E48" s="5" t="inlineStr">
        <is>
          <t>Municipio de Monclova</t>
        </is>
      </c>
      <c r="F48" s="5" t="inlineStr">
        <is>
          <t>Presidencia Municipal</t>
        </is>
      </c>
      <c r="G48" s="5" t="inlineStr"/>
      <c r="H48" s="5" t="inlineStr"/>
      <c r="I48" s="6" t="inlineStr">
        <is>
          <t>contacto@monclova.gob.mx</t>
        </is>
      </c>
      <c r="J48" s="5" t="inlineStr">
        <is>
          <t>(866) 649 28 00</t>
        </is>
      </c>
      <c r="K48" s="5" t="inlineStr">
        <is>
          <t>Monclova</t>
        </is>
      </c>
      <c r="L48" s="5" t="inlineStr">
        <is>
          <t>Zaragoza Sur 332, C.P. 25700</t>
        </is>
      </c>
      <c r="M48" s="6" t="inlineStr">
        <is>
          <t>https://sitio.monclova.gob.mx/contacto/</t>
        </is>
      </c>
      <c r="N48" s="5" t="inlineStr">
        <is>
          <t>Alta</t>
        </is>
      </c>
      <c r="O48" s="5" t="inlineStr"/>
      <c r="P48" s="7" t="inlineStr"/>
      <c r="Q48" s="7" t="inlineStr"/>
      <c r="R48" s="7" t="inlineStr"/>
    </row>
    <row r="49">
      <c r="A49" s="5" t="n">
        <v>48</v>
      </c>
      <c r="B49" s="5" t="inlineStr">
        <is>
          <t>Ambos</t>
        </is>
      </c>
      <c r="C49" s="5" t="inlineStr">
        <is>
          <t>Municipal</t>
        </is>
      </c>
      <c r="D49" s="5" t="inlineStr">
        <is>
          <t>Media</t>
        </is>
      </c>
      <c r="E49" s="5" t="inlineStr">
        <is>
          <t>Municipio de Piedras Negras</t>
        </is>
      </c>
      <c r="F49" s="5" t="inlineStr">
        <is>
          <t>Presidencia Municipal</t>
        </is>
      </c>
      <c r="G49" s="5" t="inlineStr"/>
      <c r="H49" s="5" t="inlineStr"/>
      <c r="I49" s="5" t="inlineStr"/>
      <c r="J49" s="5" t="inlineStr">
        <is>
          <t>(878) 782 66 66</t>
        </is>
      </c>
      <c r="K49" s="5" t="inlineStr">
        <is>
          <t>Piedras Negras</t>
        </is>
      </c>
      <c r="L49" s="5" t="inlineStr">
        <is>
          <t>16 de Septiembre s/n, C.P. 26010</t>
        </is>
      </c>
      <c r="M49" s="6" t="inlineStr">
        <is>
          <t>https://piedrasnegras.gob.mx/directorio/directores</t>
        </is>
      </c>
      <c r="N49" s="5" t="inlineStr">
        <is>
          <t>Media</t>
        </is>
      </c>
      <c r="O49" s="5" t="inlineStr">
        <is>
          <t>Directorio de directores en su sitio.</t>
        </is>
      </c>
      <c r="P49" s="7" t="inlineStr"/>
      <c r="Q49" s="7" t="inlineStr"/>
      <c r="R49" s="7" t="inlineStr"/>
    </row>
    <row r="50">
      <c r="A50" s="5" t="n">
        <v>49</v>
      </c>
      <c r="B50" s="5" t="inlineStr">
        <is>
          <t>Ambos</t>
        </is>
      </c>
      <c r="C50" s="5" t="inlineStr">
        <is>
          <t>Municipal</t>
        </is>
      </c>
      <c r="D50" s="5" t="inlineStr">
        <is>
          <t>Media</t>
        </is>
      </c>
      <c r="E50" s="5" t="inlineStr">
        <is>
          <t>Municipio de Acuña</t>
        </is>
      </c>
      <c r="F50" s="5" t="inlineStr">
        <is>
          <t>Presidencia Municipal</t>
        </is>
      </c>
      <c r="G50" s="5" t="inlineStr"/>
      <c r="H50" s="5" t="inlineStr"/>
      <c r="I50" s="5" t="inlineStr"/>
      <c r="J50" s="5" t="inlineStr">
        <is>
          <t>(877) 773 14 58 / 773 08 71</t>
        </is>
      </c>
      <c r="K50" s="5" t="inlineStr">
        <is>
          <t>Acuña</t>
        </is>
      </c>
      <c r="L50" s="5" t="inlineStr">
        <is>
          <t>Emilio Mendoza Cisneros 1690, Col. Aeropuerto, C.P. 26230</t>
        </is>
      </c>
      <c r="M50" s="6" t="inlineStr">
        <is>
          <t>https://acuna.gob.mx/gobierno/directorio/</t>
        </is>
      </c>
      <c r="N50" s="5" t="inlineStr">
        <is>
          <t>Media</t>
        </is>
      </c>
      <c r="O50" s="5" t="inlineStr"/>
      <c r="P50" s="7" t="inlineStr"/>
      <c r="Q50" s="7" t="inlineStr"/>
      <c r="R50" s="7" t="inlineStr"/>
    </row>
    <row r="51">
      <c r="A51" s="5" t="n">
        <v>50</v>
      </c>
      <c r="B51" s="5" t="inlineStr">
        <is>
          <t>Ambos</t>
        </is>
      </c>
      <c r="C51" s="5" t="inlineStr">
        <is>
          <t>Municipal</t>
        </is>
      </c>
      <c r="D51" s="5" t="inlineStr">
        <is>
          <t>Media</t>
        </is>
      </c>
      <c r="E51" s="5" t="inlineStr">
        <is>
          <t>Municipio de Ramos Arizpe</t>
        </is>
      </c>
      <c r="F51" s="5" t="inlineStr">
        <is>
          <t>Presidencia Municipal</t>
        </is>
      </c>
      <c r="G51" s="5" t="inlineStr"/>
      <c r="H51" s="5" t="inlineStr"/>
      <c r="I51" s="5" t="inlineStr"/>
      <c r="J51" s="5" t="inlineStr">
        <is>
          <t>(844) 180 10 00</t>
        </is>
      </c>
      <c r="K51" s="5" t="inlineStr">
        <is>
          <t>Ramos Arizpe</t>
        </is>
      </c>
      <c r="L51" s="5" t="inlineStr">
        <is>
          <t>Allende 231, Centro, C.P. 25900</t>
        </is>
      </c>
      <c r="M51" s="6" t="inlineStr">
        <is>
          <t>https://gobiernoramosarizpe.gob.mx/contact.html</t>
        </is>
      </c>
      <c r="N51" s="5" t="inlineStr">
        <is>
          <t>Media</t>
        </is>
      </c>
      <c r="O51" s="5" t="inlineStr">
        <is>
          <t>Zona industrial automotriz.</t>
        </is>
      </c>
      <c r="P51" s="7" t="inlineStr"/>
      <c r="Q51" s="7" t="inlineStr"/>
      <c r="R51" s="7" t="inlineStr"/>
    </row>
    <row r="52">
      <c r="A52" s="5" t="n">
        <v>51</v>
      </c>
      <c r="B52" s="5" t="inlineStr">
        <is>
          <t>Maestría DATESP</t>
        </is>
      </c>
      <c r="C52" s="5" t="inlineStr">
        <is>
          <t>Cámaras empresariales</t>
        </is>
      </c>
      <c r="D52" s="5" t="inlineStr">
        <is>
          <t>Alta</t>
        </is>
      </c>
      <c r="E52" s="5" t="inlineStr">
        <is>
          <t>CANACINTRA Saltillo (Sureste)</t>
        </is>
      </c>
      <c r="F52" s="5" t="inlineStr">
        <is>
          <t>Contacto</t>
        </is>
      </c>
      <c r="G52" s="5" t="inlineStr"/>
      <c r="H52" s="5" t="inlineStr"/>
      <c r="I52" s="5" t="inlineStr"/>
      <c r="J52" s="5" t="inlineStr">
        <is>
          <t>(844) 415 72 22 ext. 109</t>
        </is>
      </c>
      <c r="K52" s="5" t="inlineStr">
        <is>
          <t>Saltillo</t>
        </is>
      </c>
      <c r="L52" s="5" t="inlineStr">
        <is>
          <t>Blvd. Vito Alessio Robles 2880, Col. Nazario S. Ortiz Garza, C.P. 25100</t>
        </is>
      </c>
      <c r="M52" s="6" t="inlineStr">
        <is>
          <t>https://www.canacintra-saltillo.org.mx/</t>
        </is>
      </c>
      <c r="N52" s="5" t="inlineStr">
        <is>
          <t>Media</t>
        </is>
      </c>
      <c r="O52" s="5" t="inlineStr">
        <is>
          <t>El correo publicado parece tener errata (canancintra); confirmar.</t>
        </is>
      </c>
      <c r="P52" s="7" t="inlineStr"/>
      <c r="Q52" s="7" t="inlineStr"/>
      <c r="R52" s="7" t="inlineStr"/>
    </row>
    <row r="53">
      <c r="A53" s="5" t="n">
        <v>52</v>
      </c>
      <c r="B53" s="5" t="inlineStr">
        <is>
          <t>Maestría DATESP</t>
        </is>
      </c>
      <c r="C53" s="5" t="inlineStr">
        <is>
          <t>Cámaras empresariales</t>
        </is>
      </c>
      <c r="D53" s="5" t="inlineStr">
        <is>
          <t>Alta</t>
        </is>
      </c>
      <c r="E53" s="5" t="inlineStr">
        <is>
          <t>CANACINTRA Torreón</t>
        </is>
      </c>
      <c r="F53" s="5" t="inlineStr">
        <is>
          <t>Gerencia</t>
        </is>
      </c>
      <c r="G53" s="5" t="inlineStr"/>
      <c r="H53" s="5" t="inlineStr"/>
      <c r="I53" s="6" t="inlineStr">
        <is>
          <t>gerencia@canacintratorreon.org</t>
        </is>
      </c>
      <c r="J53" s="5" t="inlineStr">
        <is>
          <t>(871) 716 10 72 / 347 82 53</t>
        </is>
      </c>
      <c r="K53" s="5" t="inlineStr">
        <is>
          <t>Torreón</t>
        </is>
      </c>
      <c r="L53" s="5" t="inlineStr">
        <is>
          <t>Blvd. Constitución 4, Amp. Los Ángeles, C.P. 27140</t>
        </is>
      </c>
      <c r="M53" s="6" t="inlineStr">
        <is>
          <t>https://canacintratrc.com/socios</t>
        </is>
      </c>
      <c r="N53" s="5" t="inlineStr">
        <is>
          <t>Media</t>
        </is>
      </c>
      <c r="O53" s="5" t="inlineStr">
        <is>
          <t>También: recepcion@canacintratorreon.org</t>
        </is>
      </c>
      <c r="P53" s="7" t="inlineStr"/>
      <c r="Q53" s="7" t="inlineStr"/>
      <c r="R53" s="7" t="inlineStr"/>
    </row>
    <row r="54">
      <c r="A54" s="5" t="n">
        <v>53</v>
      </c>
      <c r="B54" s="5" t="inlineStr">
        <is>
          <t>Maestría DATESP</t>
        </is>
      </c>
      <c r="C54" s="5" t="inlineStr">
        <is>
          <t>Cámaras empresariales</t>
        </is>
      </c>
      <c r="D54" s="5" t="inlineStr">
        <is>
          <t>Alta</t>
        </is>
      </c>
      <c r="E54" s="5" t="inlineStr">
        <is>
          <t>COPARMEX Coahuila Sureste</t>
        </is>
      </c>
      <c r="F54" s="5" t="inlineStr">
        <is>
          <t>Dirección</t>
        </is>
      </c>
      <c r="G54" s="5" t="inlineStr"/>
      <c r="H54" s="5" t="inlineStr"/>
      <c r="I54" s="6" t="inlineStr">
        <is>
          <t>direccion@coparmexcoahuila.org.mx</t>
        </is>
      </c>
      <c r="J54" s="5" t="inlineStr">
        <is>
          <t>(844) 415 86 18 / 415 89 41</t>
        </is>
      </c>
      <c r="K54" s="5" t="inlineStr">
        <is>
          <t>Saltillo</t>
        </is>
      </c>
      <c r="L54" s="5" t="inlineStr">
        <is>
          <t>Av. Universidad 514, Col. Los Maestros, C.P. 25260</t>
        </is>
      </c>
      <c r="M54" s="6" t="inlineStr">
        <is>
          <t>https://coparmexcoahuila.org.mx/</t>
        </is>
      </c>
      <c r="N54" s="5" t="inlineStr">
        <is>
          <t>Alta</t>
        </is>
      </c>
      <c r="O54" s="5" t="inlineStr">
        <is>
          <t>Tiene área de capacitación.</t>
        </is>
      </c>
      <c r="P54" s="7" t="inlineStr"/>
      <c r="Q54" s="7" t="inlineStr"/>
      <c r="R54" s="7" t="inlineStr"/>
    </row>
    <row r="55">
      <c r="A55" s="5" t="n">
        <v>54</v>
      </c>
      <c r="B55" s="5" t="inlineStr">
        <is>
          <t>Maestría DATESP</t>
        </is>
      </c>
      <c r="C55" s="5" t="inlineStr">
        <is>
          <t>Cámaras empresariales</t>
        </is>
      </c>
      <c r="D55" s="5" t="inlineStr">
        <is>
          <t>Alta</t>
        </is>
      </c>
      <c r="E55" s="5" t="inlineStr">
        <is>
          <t>COPARMEX Laguna</t>
        </is>
      </c>
      <c r="F55" s="5" t="inlineStr">
        <is>
          <t>Contacto</t>
        </is>
      </c>
      <c r="G55" s="5" t="inlineStr"/>
      <c r="H55" s="5" t="inlineStr"/>
      <c r="I55" s="5" t="inlineStr"/>
      <c r="J55" s="5" t="inlineStr">
        <is>
          <t>(871) 717 54 97</t>
        </is>
      </c>
      <c r="K55" s="5" t="inlineStr">
        <is>
          <t>Torreón</t>
        </is>
      </c>
      <c r="L55" s="5" t="inlineStr">
        <is>
          <t>Av. Matamoros 931 Ote., Centro, C.P. 27000</t>
        </is>
      </c>
      <c r="M55" s="6" t="inlineStr">
        <is>
          <t>https://www.coparmexlaguna.org.mx/contactus</t>
        </is>
      </c>
      <c r="N55" s="5" t="inlineStr">
        <is>
          <t>Media</t>
        </is>
      </c>
      <c r="O55" s="5" t="inlineStr">
        <is>
          <t>Correo protegido en su sitio.</t>
        </is>
      </c>
      <c r="P55" s="7" t="inlineStr"/>
      <c r="Q55" s="7" t="inlineStr"/>
      <c r="R55" s="7" t="inlineStr"/>
    </row>
    <row r="56">
      <c r="A56" s="5" t="n">
        <v>55</v>
      </c>
      <c r="B56" s="5" t="inlineStr">
        <is>
          <t>Maestría DATESP</t>
        </is>
      </c>
      <c r="C56" s="5" t="inlineStr">
        <is>
          <t>Cámaras empresariales</t>
        </is>
      </c>
      <c r="D56" s="5" t="inlineStr">
        <is>
          <t>Media</t>
        </is>
      </c>
      <c r="E56" s="5" t="inlineStr">
        <is>
          <t>CANACO Servytur Saltillo</t>
        </is>
      </c>
      <c r="F56" s="5" t="inlineStr">
        <is>
          <t>Dirección</t>
        </is>
      </c>
      <c r="G56" s="5" t="inlineStr"/>
      <c r="H56" s="5" t="inlineStr"/>
      <c r="I56" s="6" t="inlineStr">
        <is>
          <t>direccion@canacosaltillo.com.mx</t>
        </is>
      </c>
      <c r="J56" s="5" t="inlineStr">
        <is>
          <t>(844) 134 53 90</t>
        </is>
      </c>
      <c r="K56" s="5" t="inlineStr">
        <is>
          <t>Saltillo</t>
        </is>
      </c>
      <c r="L56" s="5" t="inlineStr">
        <is>
          <t>Av. Universidad 514, Fracc. Insurgentes, C.P. 25250</t>
        </is>
      </c>
      <c r="M56" s="6" t="inlineStr">
        <is>
          <t>https://concanaco.digital/canacosaltillo/</t>
        </is>
      </c>
      <c r="N56" s="5" t="inlineStr">
        <is>
          <t>Media</t>
        </is>
      </c>
      <c r="O56" s="5" t="inlineStr"/>
      <c r="P56" s="7" t="inlineStr"/>
      <c r="Q56" s="7" t="inlineStr"/>
      <c r="R56" s="7" t="inlineStr"/>
    </row>
    <row r="57">
      <c r="A57" s="5" t="n">
        <v>56</v>
      </c>
      <c r="B57" s="5" t="inlineStr">
        <is>
          <t>Maestría DATESP</t>
        </is>
      </c>
      <c r="C57" s="5" t="inlineStr">
        <is>
          <t>Cámaras empresariales</t>
        </is>
      </c>
      <c r="D57" s="5" t="inlineStr">
        <is>
          <t>Media</t>
        </is>
      </c>
      <c r="E57" s="5" t="inlineStr">
        <is>
          <t>CANACO Servytur Torreón</t>
        </is>
      </c>
      <c r="F57" s="5" t="inlineStr">
        <is>
          <t>Contacto</t>
        </is>
      </c>
      <c r="G57" s="5" t="inlineStr"/>
      <c r="H57" s="5" t="inlineStr"/>
      <c r="I57" s="6" t="inlineStr">
        <is>
          <t>contacto@canacotorreon.com.mx</t>
        </is>
      </c>
      <c r="J57" s="5" t="inlineStr">
        <is>
          <t>(871) 716 88 22</t>
        </is>
      </c>
      <c r="K57" s="5" t="inlineStr">
        <is>
          <t>Torreón</t>
        </is>
      </c>
      <c r="L57" s="5" t="inlineStr">
        <is>
          <t>Av. Matamoros 434, Centro, C.P. 27000</t>
        </is>
      </c>
      <c r="M57" s="6" t="inlineStr">
        <is>
          <t>https://servercreactivo.com/Clientes/Canaco-Nuevo/contact.html</t>
        </is>
      </c>
      <c r="N57" s="5" t="inlineStr">
        <is>
          <t>Media</t>
        </is>
      </c>
      <c r="O57" s="5" t="inlineStr">
        <is>
          <t>También: direcciongeneral@canacotorreon.com.mx</t>
        </is>
      </c>
      <c r="P57" s="7" t="inlineStr"/>
      <c r="Q57" s="7" t="inlineStr"/>
      <c r="R57" s="7" t="inlineStr"/>
    </row>
    <row r="58">
      <c r="A58" s="5" t="n">
        <v>57</v>
      </c>
      <c r="B58" s="5" t="inlineStr">
        <is>
          <t>Maestría DATESP</t>
        </is>
      </c>
      <c r="C58" s="5" t="inlineStr">
        <is>
          <t>Cámaras empresariales</t>
        </is>
      </c>
      <c r="D58" s="5" t="inlineStr">
        <is>
          <t>Media</t>
        </is>
      </c>
      <c r="E58" s="5" t="inlineStr">
        <is>
          <t>CMIC Coahuila Sureste</t>
        </is>
      </c>
      <c r="F58" s="5" t="inlineStr">
        <is>
          <t>Contacto</t>
        </is>
      </c>
      <c r="G58" s="5" t="inlineStr"/>
      <c r="H58" s="5" t="inlineStr"/>
      <c r="I58" s="5" t="inlineStr"/>
      <c r="J58" s="5" t="inlineStr">
        <is>
          <t>(844) 415 15 41</t>
        </is>
      </c>
      <c r="K58" s="5" t="inlineStr">
        <is>
          <t>Saltillo</t>
        </is>
      </c>
      <c r="L58" s="5" t="inlineStr">
        <is>
          <t>Blvd. Nazario Ortiz Garza 351, Col. Guanajuato Ote., C.P. 25286</t>
        </is>
      </c>
      <c r="M58" s="6" t="inlineStr">
        <is>
          <t>https://cmic.org/directorio-institucional/</t>
        </is>
      </c>
      <c r="N58" s="5" t="inlineStr">
        <is>
          <t>Media</t>
        </is>
      </c>
      <c r="O58" s="5" t="inlineStr">
        <is>
          <t>Construcción: impacto ambiental y seguridad.</t>
        </is>
      </c>
      <c r="P58" s="7" t="inlineStr"/>
      <c r="Q58" s="7" t="inlineStr"/>
      <c r="R58" s="7" t="inlineStr"/>
    </row>
    <row r="59">
      <c r="A59" s="5" t="n">
        <v>58</v>
      </c>
      <c r="B59" s="5" t="inlineStr">
        <is>
          <t>Maestría DATESP</t>
        </is>
      </c>
      <c r="C59" s="5" t="inlineStr">
        <is>
          <t>Clústeres</t>
        </is>
      </c>
      <c r="D59" s="5" t="inlineStr">
        <is>
          <t>Alta</t>
        </is>
      </c>
      <c r="E59" s="5" t="inlineStr">
        <is>
          <t>Clúster de la Industria Automotriz de Coahuila (CIAC)</t>
        </is>
      </c>
      <c r="F59" s="5" t="inlineStr">
        <is>
          <t>Comunicación</t>
        </is>
      </c>
      <c r="G59" s="5" t="inlineStr"/>
      <c r="H59" s="5" t="inlineStr"/>
      <c r="I59" s="6" t="inlineStr">
        <is>
          <t>comunicacion@ciac.mx</t>
        </is>
      </c>
      <c r="J59" s="5" t="inlineStr">
        <is>
          <t>(844) 528 14 65</t>
        </is>
      </c>
      <c r="K59" s="5" t="inlineStr">
        <is>
          <t>Saltillo</t>
        </is>
      </c>
      <c r="L59" s="5" t="inlineStr">
        <is>
          <t>Juan de la Barrera 1241, Col. Las Cumbres, C.P. 25270</t>
        </is>
      </c>
      <c r="M59" s="6" t="inlineStr">
        <is>
          <t>https://ciac.mx/</t>
        </is>
      </c>
      <c r="N59" s="5" t="inlineStr">
        <is>
          <t>Alta</t>
        </is>
      </c>
      <c r="O59" s="5" t="inlineStr">
        <is>
          <t>Acceso a gerentes EHS y RR. HH. de armadoras y proveedores.</t>
        </is>
      </c>
      <c r="P59" s="7" t="inlineStr"/>
      <c r="Q59" s="7" t="inlineStr"/>
      <c r="R59" s="7" t="inlineStr"/>
    </row>
    <row r="60">
      <c r="A60" s="5" t="n">
        <v>59</v>
      </c>
      <c r="B60" s="5" t="inlineStr">
        <is>
          <t>Maestría DATESP</t>
        </is>
      </c>
      <c r="C60" s="5" t="inlineStr">
        <is>
          <t>Clústeres</t>
        </is>
      </c>
      <c r="D60" s="5" t="inlineStr">
        <is>
          <t>Media</t>
        </is>
      </c>
      <c r="E60" s="5" t="inlineStr">
        <is>
          <t>Clúster de Energía Coahuila</t>
        </is>
      </c>
      <c r="F60" s="5" t="inlineStr">
        <is>
          <t>Contacto</t>
        </is>
      </c>
      <c r="G60" s="5" t="inlineStr"/>
      <c r="H60" s="5" t="inlineStr"/>
      <c r="I60" s="6" t="inlineStr">
        <is>
          <t>contacto@clusterenergia.org</t>
        </is>
      </c>
      <c r="J60" s="5" t="inlineStr">
        <is>
          <t>(844) 415 27 20</t>
        </is>
      </c>
      <c r="K60" s="5" t="inlineStr">
        <is>
          <t>Saltillo</t>
        </is>
      </c>
      <c r="L60" s="5" t="inlineStr">
        <is>
          <t>Av. Las Américas 161, Col. Latinoamericana</t>
        </is>
      </c>
      <c r="M60" s="6" t="inlineStr">
        <is>
          <t>https://mexicoindustry.com/empresa/cluster-de-energia-coahuila-ac</t>
        </is>
      </c>
      <c r="N60" s="5" t="inlineStr">
        <is>
          <t>Media</t>
        </is>
      </c>
      <c r="O60" s="5" t="inlineStr">
        <is>
          <t>Vinculado al sector minero-petrolero.</t>
        </is>
      </c>
      <c r="P60" s="7" t="inlineStr"/>
      <c r="Q60" s="7" t="inlineStr"/>
      <c r="R60" s="7" t="inlineStr"/>
    </row>
    <row r="61">
      <c r="A61" s="5" t="n">
        <v>60</v>
      </c>
      <c r="B61" s="5" t="inlineStr">
        <is>
          <t>Ambos</t>
        </is>
      </c>
      <c r="C61" s="5" t="inlineStr">
        <is>
          <t>Academia (aliados)</t>
        </is>
      </c>
      <c r="D61" s="5" t="inlineStr">
        <is>
          <t>Media</t>
        </is>
      </c>
      <c r="E61" s="5" t="inlineStr">
        <is>
          <t>UAdeC – Facultad de Jurisprudencia</t>
        </is>
      </c>
      <c r="F61" s="5" t="inlineStr">
        <is>
          <t>Coordinación</t>
        </is>
      </c>
      <c r="G61" s="5" t="inlineStr"/>
      <c r="H61" s="5" t="inlineStr"/>
      <c r="I61" s="6" t="inlineStr">
        <is>
          <t>cpi.jurisprudencia@uadec.edu.mx</t>
        </is>
      </c>
      <c r="J61" s="5" t="inlineStr">
        <is>
          <t>(844) 416 86 40 / 430 88 76</t>
        </is>
      </c>
      <c r="K61" s="5" t="inlineStr">
        <is>
          <t>Saltillo</t>
        </is>
      </c>
      <c r="L61" s="5" t="inlineStr">
        <is>
          <t>Blvd. V. Carranza s/n, Col. República Ote., C.P. 25280</t>
        </is>
      </c>
      <c r="M61" s="6" t="inlineStr">
        <is>
          <t>https://www.uadec.mx/jurisprudencia/</t>
        </is>
      </c>
      <c r="N61" s="5" t="inlineStr">
        <is>
          <t>Media</t>
        </is>
      </c>
      <c r="O61" s="5" t="inlineStr">
        <is>
          <t>Posible aliado o competencia (tiene Maestría en Derecho).</t>
        </is>
      </c>
      <c r="P61" s="7" t="inlineStr"/>
      <c r="Q61" s="7" t="inlineStr"/>
      <c r="R61" s="7" t="inlineStr"/>
    </row>
    <row r="62">
      <c r="A62" s="5" t="n">
        <v>61</v>
      </c>
      <c r="B62" s="5" t="inlineStr">
        <is>
          <t>Ambos</t>
        </is>
      </c>
      <c r="C62" s="5" t="inlineStr">
        <is>
          <t>Academia (aliados)</t>
        </is>
      </c>
      <c r="D62" s="5" t="inlineStr">
        <is>
          <t>Baja</t>
        </is>
      </c>
      <c r="E62" s="5" t="inlineStr">
        <is>
          <t>UAdeC – Facultad de Derecho Unidad Torreón</t>
        </is>
      </c>
      <c r="F62" s="5" t="inlineStr">
        <is>
          <t>Contacto</t>
        </is>
      </c>
      <c r="G62" s="5" t="inlineStr"/>
      <c r="H62" s="5" t="inlineStr"/>
      <c r="I62" s="6" t="inlineStr">
        <is>
          <t>facultadderecho.uadec@hotmail.com</t>
        </is>
      </c>
      <c r="J62" s="5" t="inlineStr">
        <is>
          <t>(871) 716 42 50</t>
        </is>
      </c>
      <c r="K62" s="5" t="inlineStr">
        <is>
          <t>Torreón</t>
        </is>
      </c>
      <c r="L62" s="5" t="inlineStr">
        <is>
          <t>Blvd. Revolución y Donato Guerra, C.P. 27000</t>
        </is>
      </c>
      <c r="M62" s="6" t="inlineStr">
        <is>
          <t>https://mexico.justia.com/recursos/escuelas/coahuila/uadec-torreon-facultad-de-derecho/</t>
        </is>
      </c>
      <c r="N62" s="5" t="inlineStr">
        <is>
          <t>Baja</t>
        </is>
      </c>
      <c r="O62" s="5" t="inlineStr">
        <is>
          <t>Correo Hotmail en directorio de terceros; confirmar.</t>
        </is>
      </c>
      <c r="P62" s="7" t="inlineStr"/>
      <c r="Q62" s="7" t="inlineStr"/>
      <c r="R62" s="7" t="inlineStr"/>
    </row>
  </sheetData>
  <autoFilter ref="A1:R62"/>
  <conditionalFormatting sqref="D2:D62">
    <cfRule type="cellIs" priority="1" operator="equal" dxfId="0">
      <formula>"Alta"</formula>
    </cfRule>
    <cfRule type="cellIs" priority="3" operator="equal" dxfId="1">
      <formula>"Media"</formula>
    </cfRule>
    <cfRule type="cellIs" priority="5" operator="equal" dxfId="2">
      <formula>"Baja"</formula>
    </cfRule>
  </conditionalFormatting>
  <conditionalFormatting sqref="N2:N62">
    <cfRule type="cellIs" priority="2" operator="equal" dxfId="0">
      <formula>"Alta"</formula>
    </cfRule>
    <cfRule type="cellIs" priority="4" operator="equal" dxfId="1">
      <formula>"Media"</formula>
    </cfRule>
    <cfRule type="cellIs" priority="6" operator="equal" dxfId="2">
      <formula>"Baja"</formula>
    </cfRule>
  </conditionalFormatting>
  <dataValidations count="1">
    <dataValidation sqref="P2:P62" showDropDown="0" showInputMessage="0" showErrorMessage="0" allowBlank="1" type="list">
      <formula1>"Sin contactar,Enviado,Respondió,Interesado,No interesado,Convenio,Baja"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M2" r:id="rId2"/>
    <hyperlink xmlns:r="http://schemas.openxmlformats.org/officeDocument/2006/relationships" ref="I3" r:id="rId3"/>
    <hyperlink xmlns:r="http://schemas.openxmlformats.org/officeDocument/2006/relationships" ref="M3" r:id="rId4"/>
    <hyperlink xmlns:r="http://schemas.openxmlformats.org/officeDocument/2006/relationships" ref="M4" r:id="rId5"/>
    <hyperlink xmlns:r="http://schemas.openxmlformats.org/officeDocument/2006/relationships" ref="M5" r:id="rId6"/>
    <hyperlink xmlns:r="http://schemas.openxmlformats.org/officeDocument/2006/relationships" ref="I6" r:id="rId7"/>
    <hyperlink xmlns:r="http://schemas.openxmlformats.org/officeDocument/2006/relationships" ref="M6" r:id="rId8"/>
    <hyperlink xmlns:r="http://schemas.openxmlformats.org/officeDocument/2006/relationships" ref="I7" r:id="rId9"/>
    <hyperlink xmlns:r="http://schemas.openxmlformats.org/officeDocument/2006/relationships" ref="M7" r:id="rId10"/>
    <hyperlink xmlns:r="http://schemas.openxmlformats.org/officeDocument/2006/relationships" ref="M8" r:id="rId11"/>
    <hyperlink xmlns:r="http://schemas.openxmlformats.org/officeDocument/2006/relationships" ref="I9" r:id="rId12"/>
    <hyperlink xmlns:r="http://schemas.openxmlformats.org/officeDocument/2006/relationships" ref="M9" r:id="rId13"/>
    <hyperlink xmlns:r="http://schemas.openxmlformats.org/officeDocument/2006/relationships" ref="I10" r:id="rId14"/>
    <hyperlink xmlns:r="http://schemas.openxmlformats.org/officeDocument/2006/relationships" ref="M10" r:id="rId15"/>
    <hyperlink xmlns:r="http://schemas.openxmlformats.org/officeDocument/2006/relationships" ref="I11" r:id="rId16"/>
    <hyperlink xmlns:r="http://schemas.openxmlformats.org/officeDocument/2006/relationships" ref="M11" r:id="rId17"/>
    <hyperlink xmlns:r="http://schemas.openxmlformats.org/officeDocument/2006/relationships" ref="I12" r:id="rId18"/>
    <hyperlink xmlns:r="http://schemas.openxmlformats.org/officeDocument/2006/relationships" ref="M12" r:id="rId19"/>
    <hyperlink xmlns:r="http://schemas.openxmlformats.org/officeDocument/2006/relationships" ref="M13" r:id="rId20"/>
    <hyperlink xmlns:r="http://schemas.openxmlformats.org/officeDocument/2006/relationships" ref="I14" r:id="rId21"/>
    <hyperlink xmlns:r="http://schemas.openxmlformats.org/officeDocument/2006/relationships" ref="M14" r:id="rId22"/>
    <hyperlink xmlns:r="http://schemas.openxmlformats.org/officeDocument/2006/relationships" ref="I15" r:id="rId23"/>
    <hyperlink xmlns:r="http://schemas.openxmlformats.org/officeDocument/2006/relationships" ref="M15" r:id="rId24"/>
    <hyperlink xmlns:r="http://schemas.openxmlformats.org/officeDocument/2006/relationships" ref="M16" r:id="rId25"/>
    <hyperlink xmlns:r="http://schemas.openxmlformats.org/officeDocument/2006/relationships" ref="M17" r:id="rId26"/>
    <hyperlink xmlns:r="http://schemas.openxmlformats.org/officeDocument/2006/relationships" ref="M18" r:id="rId27"/>
    <hyperlink xmlns:r="http://schemas.openxmlformats.org/officeDocument/2006/relationships" ref="I19" r:id="rId28"/>
    <hyperlink xmlns:r="http://schemas.openxmlformats.org/officeDocument/2006/relationships" ref="M19" r:id="rId29"/>
    <hyperlink xmlns:r="http://schemas.openxmlformats.org/officeDocument/2006/relationships" ref="M20" r:id="rId30"/>
    <hyperlink xmlns:r="http://schemas.openxmlformats.org/officeDocument/2006/relationships" ref="M21" r:id="rId31"/>
    <hyperlink xmlns:r="http://schemas.openxmlformats.org/officeDocument/2006/relationships" ref="M22" r:id="rId32"/>
    <hyperlink xmlns:r="http://schemas.openxmlformats.org/officeDocument/2006/relationships" ref="M23" r:id="rId33"/>
    <hyperlink xmlns:r="http://schemas.openxmlformats.org/officeDocument/2006/relationships" ref="M24" r:id="rId34"/>
    <hyperlink xmlns:r="http://schemas.openxmlformats.org/officeDocument/2006/relationships" ref="M25" r:id="rId35"/>
    <hyperlink xmlns:r="http://schemas.openxmlformats.org/officeDocument/2006/relationships" ref="M26" r:id="rId36"/>
    <hyperlink xmlns:r="http://schemas.openxmlformats.org/officeDocument/2006/relationships" ref="I27" r:id="rId37"/>
    <hyperlink xmlns:r="http://schemas.openxmlformats.org/officeDocument/2006/relationships" ref="M27" r:id="rId38"/>
    <hyperlink xmlns:r="http://schemas.openxmlformats.org/officeDocument/2006/relationships" ref="M28" r:id="rId39"/>
    <hyperlink xmlns:r="http://schemas.openxmlformats.org/officeDocument/2006/relationships" ref="M29" r:id="rId40"/>
    <hyperlink xmlns:r="http://schemas.openxmlformats.org/officeDocument/2006/relationships" ref="I30" r:id="rId41"/>
    <hyperlink xmlns:r="http://schemas.openxmlformats.org/officeDocument/2006/relationships" ref="M30" r:id="rId42"/>
    <hyperlink xmlns:r="http://schemas.openxmlformats.org/officeDocument/2006/relationships" ref="M31" r:id="rId43"/>
    <hyperlink xmlns:r="http://schemas.openxmlformats.org/officeDocument/2006/relationships" ref="M32" r:id="rId44"/>
    <hyperlink xmlns:r="http://schemas.openxmlformats.org/officeDocument/2006/relationships" ref="M33" r:id="rId45"/>
    <hyperlink xmlns:r="http://schemas.openxmlformats.org/officeDocument/2006/relationships" ref="I34" r:id="rId46"/>
    <hyperlink xmlns:r="http://schemas.openxmlformats.org/officeDocument/2006/relationships" ref="M34" r:id="rId47"/>
    <hyperlink xmlns:r="http://schemas.openxmlformats.org/officeDocument/2006/relationships" ref="I35" r:id="rId48"/>
    <hyperlink xmlns:r="http://schemas.openxmlformats.org/officeDocument/2006/relationships" ref="M35" r:id="rId49"/>
    <hyperlink xmlns:r="http://schemas.openxmlformats.org/officeDocument/2006/relationships" ref="I36" r:id="rId50"/>
    <hyperlink xmlns:r="http://schemas.openxmlformats.org/officeDocument/2006/relationships" ref="M36" r:id="rId51"/>
    <hyperlink xmlns:r="http://schemas.openxmlformats.org/officeDocument/2006/relationships" ref="M37" r:id="rId52"/>
    <hyperlink xmlns:r="http://schemas.openxmlformats.org/officeDocument/2006/relationships" ref="I38" r:id="rId53"/>
    <hyperlink xmlns:r="http://schemas.openxmlformats.org/officeDocument/2006/relationships" ref="M38" r:id="rId54"/>
    <hyperlink xmlns:r="http://schemas.openxmlformats.org/officeDocument/2006/relationships" ref="I39" r:id="rId55"/>
    <hyperlink xmlns:r="http://schemas.openxmlformats.org/officeDocument/2006/relationships" ref="M39" r:id="rId56"/>
    <hyperlink xmlns:r="http://schemas.openxmlformats.org/officeDocument/2006/relationships" ref="M40" r:id="rId57"/>
    <hyperlink xmlns:r="http://schemas.openxmlformats.org/officeDocument/2006/relationships" ref="I41" r:id="rId58"/>
    <hyperlink xmlns:r="http://schemas.openxmlformats.org/officeDocument/2006/relationships" ref="M41" r:id="rId59"/>
    <hyperlink xmlns:r="http://schemas.openxmlformats.org/officeDocument/2006/relationships" ref="I42" r:id="rId60"/>
    <hyperlink xmlns:r="http://schemas.openxmlformats.org/officeDocument/2006/relationships" ref="M42" r:id="rId61"/>
    <hyperlink xmlns:r="http://schemas.openxmlformats.org/officeDocument/2006/relationships" ref="I43" r:id="rId62"/>
    <hyperlink xmlns:r="http://schemas.openxmlformats.org/officeDocument/2006/relationships" ref="M43" r:id="rId63"/>
    <hyperlink xmlns:r="http://schemas.openxmlformats.org/officeDocument/2006/relationships" ref="M44" r:id="rId64"/>
    <hyperlink xmlns:r="http://schemas.openxmlformats.org/officeDocument/2006/relationships" ref="M45" r:id="rId65"/>
    <hyperlink xmlns:r="http://schemas.openxmlformats.org/officeDocument/2006/relationships" ref="M46" r:id="rId66"/>
    <hyperlink xmlns:r="http://schemas.openxmlformats.org/officeDocument/2006/relationships" ref="M47" r:id="rId67"/>
    <hyperlink xmlns:r="http://schemas.openxmlformats.org/officeDocument/2006/relationships" ref="I48" r:id="rId68"/>
    <hyperlink xmlns:r="http://schemas.openxmlformats.org/officeDocument/2006/relationships" ref="M48" r:id="rId69"/>
    <hyperlink xmlns:r="http://schemas.openxmlformats.org/officeDocument/2006/relationships" ref="M49" r:id="rId70"/>
    <hyperlink xmlns:r="http://schemas.openxmlformats.org/officeDocument/2006/relationships" ref="M50" r:id="rId71"/>
    <hyperlink xmlns:r="http://schemas.openxmlformats.org/officeDocument/2006/relationships" ref="M51" r:id="rId72"/>
    <hyperlink xmlns:r="http://schemas.openxmlformats.org/officeDocument/2006/relationships" ref="M52" r:id="rId73"/>
    <hyperlink xmlns:r="http://schemas.openxmlformats.org/officeDocument/2006/relationships" ref="I53" r:id="rId74"/>
    <hyperlink xmlns:r="http://schemas.openxmlformats.org/officeDocument/2006/relationships" ref="M53" r:id="rId75"/>
    <hyperlink xmlns:r="http://schemas.openxmlformats.org/officeDocument/2006/relationships" ref="I54" r:id="rId76"/>
    <hyperlink xmlns:r="http://schemas.openxmlformats.org/officeDocument/2006/relationships" ref="M54" r:id="rId77"/>
    <hyperlink xmlns:r="http://schemas.openxmlformats.org/officeDocument/2006/relationships" ref="M55" r:id="rId78"/>
    <hyperlink xmlns:r="http://schemas.openxmlformats.org/officeDocument/2006/relationships" ref="I56" r:id="rId79"/>
    <hyperlink xmlns:r="http://schemas.openxmlformats.org/officeDocument/2006/relationships" ref="M56" r:id="rId80"/>
    <hyperlink xmlns:r="http://schemas.openxmlformats.org/officeDocument/2006/relationships" ref="I57" r:id="rId81"/>
    <hyperlink xmlns:r="http://schemas.openxmlformats.org/officeDocument/2006/relationships" ref="M57" r:id="rId82"/>
    <hyperlink xmlns:r="http://schemas.openxmlformats.org/officeDocument/2006/relationships" ref="M58" r:id="rId83"/>
    <hyperlink xmlns:r="http://schemas.openxmlformats.org/officeDocument/2006/relationships" ref="I59" r:id="rId84"/>
    <hyperlink xmlns:r="http://schemas.openxmlformats.org/officeDocument/2006/relationships" ref="M59" r:id="rId85"/>
    <hyperlink xmlns:r="http://schemas.openxmlformats.org/officeDocument/2006/relationships" ref="I60" r:id="rId86"/>
    <hyperlink xmlns:r="http://schemas.openxmlformats.org/officeDocument/2006/relationships" ref="M60" r:id="rId87"/>
    <hyperlink xmlns:r="http://schemas.openxmlformats.org/officeDocument/2006/relationships" ref="I61" r:id="rId88"/>
    <hyperlink xmlns:r="http://schemas.openxmlformats.org/officeDocument/2006/relationships" ref="M61" r:id="rId89"/>
    <hyperlink xmlns:r="http://schemas.openxmlformats.org/officeDocument/2006/relationships" ref="I62" r:id="rId90"/>
    <hyperlink xmlns:r="http://schemas.openxmlformats.org/officeDocument/2006/relationships" ref="M62" r:id="rId9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Segmento</t>
        </is>
      </c>
      <c r="B1" s="8" t="inlineStr">
        <is>
          <t>Total contactos</t>
        </is>
      </c>
      <c r="C1" s="8" t="inlineStr">
        <is>
          <t>Con correo</t>
        </is>
      </c>
      <c r="D1" s="8" t="inlineStr">
        <is>
          <t>Prioridad alta</t>
        </is>
      </c>
      <c r="E1" s="8" t="inlineStr">
        <is>
          <t>Derecho Parlamentario</t>
        </is>
      </c>
      <c r="F1" s="8" t="inlineStr">
        <is>
          <t>Maestría DATESP</t>
        </is>
      </c>
      <c r="G1" s="8" t="inlineStr">
        <is>
          <t>Ambos</t>
        </is>
      </c>
    </row>
    <row r="2">
      <c r="A2" s="9" t="inlineStr">
        <is>
          <t>Academia (aliados)</t>
        </is>
      </c>
      <c r="B2" s="9">
        <f>COUNTIF(Directorio!$C$2:$C$62,A2)</f>
        <v/>
      </c>
      <c r="C2" s="9">
        <f>COUNTIFS(Directorio!$C$2:$C$62,A2,Directorio!$I$2:$I$62,"?*")</f>
        <v/>
      </c>
      <c r="D2" s="9">
        <f>COUNTIFS(Directorio!$C$2:$C$62,A2,Directorio!$D$2:$D$62,"Alta")</f>
        <v/>
      </c>
      <c r="E2" s="9">
        <f>COUNTIFS(Directorio!$C$2:$C$62,A2,Directorio!$B$2:$B$62,"Derecho Parlamentario")</f>
        <v/>
      </c>
      <c r="F2" s="9">
        <f>COUNTIFS(Directorio!$C$2:$C$62,A2,Directorio!$B$2:$B$62,"Maestría DATESP")</f>
        <v/>
      </c>
      <c r="G2" s="9">
        <f>COUNTIFS(Directorio!$C$2:$C$62,A2,Directorio!$B$2:$B$62,"Ambos")</f>
        <v/>
      </c>
    </row>
    <row r="3">
      <c r="A3" s="9" t="inlineStr">
        <is>
          <t>Agua</t>
        </is>
      </c>
      <c r="B3" s="9">
        <f>COUNTIF(Directorio!$C$2:$C$62,A3)</f>
        <v/>
      </c>
      <c r="C3" s="9">
        <f>COUNTIFS(Directorio!$C$2:$C$62,A3,Directorio!$I$2:$I$62,"?*")</f>
        <v/>
      </c>
      <c r="D3" s="9">
        <f>COUNTIFS(Directorio!$C$2:$C$62,A3,Directorio!$D$2:$D$62,"Alta")</f>
        <v/>
      </c>
      <c r="E3" s="9">
        <f>COUNTIFS(Directorio!$C$2:$C$62,A3,Directorio!$B$2:$B$62,"Derecho Parlamentario")</f>
        <v/>
      </c>
      <c r="F3" s="9">
        <f>COUNTIFS(Directorio!$C$2:$C$62,A3,Directorio!$B$2:$B$62,"Maestría DATESP")</f>
        <v/>
      </c>
      <c r="G3" s="9">
        <f>COUNTIFS(Directorio!$C$2:$C$62,A3,Directorio!$B$2:$B$62,"Ambos")</f>
        <v/>
      </c>
    </row>
    <row r="4">
      <c r="A4" s="9" t="inlineStr">
        <is>
          <t>Clústeres</t>
        </is>
      </c>
      <c r="B4" s="9">
        <f>COUNTIF(Directorio!$C$2:$C$62,A4)</f>
        <v/>
      </c>
      <c r="C4" s="9">
        <f>COUNTIFS(Directorio!$C$2:$C$62,A4,Directorio!$I$2:$I$62,"?*")</f>
        <v/>
      </c>
      <c r="D4" s="9">
        <f>COUNTIFS(Directorio!$C$2:$C$62,A4,Directorio!$D$2:$D$62,"Alta")</f>
        <v/>
      </c>
      <c r="E4" s="9">
        <f>COUNTIFS(Directorio!$C$2:$C$62,A4,Directorio!$B$2:$B$62,"Derecho Parlamentario")</f>
        <v/>
      </c>
      <c r="F4" s="9">
        <f>COUNTIFS(Directorio!$C$2:$C$62,A4,Directorio!$B$2:$B$62,"Maestría DATESP")</f>
        <v/>
      </c>
      <c r="G4" s="9">
        <f>COUNTIFS(Directorio!$C$2:$C$62,A4,Directorio!$B$2:$B$62,"Ambos")</f>
        <v/>
      </c>
    </row>
    <row r="5">
      <c r="A5" s="9" t="inlineStr">
        <is>
          <t>Cámaras empresariales</t>
        </is>
      </c>
      <c r="B5" s="9">
        <f>COUNTIF(Directorio!$C$2:$C$62,A5)</f>
        <v/>
      </c>
      <c r="C5" s="9">
        <f>COUNTIFS(Directorio!$C$2:$C$62,A5,Directorio!$I$2:$I$62,"?*")</f>
        <v/>
      </c>
      <c r="D5" s="9">
        <f>COUNTIFS(Directorio!$C$2:$C$62,A5,Directorio!$D$2:$D$62,"Alta")</f>
        <v/>
      </c>
      <c r="E5" s="9">
        <f>COUNTIFS(Directorio!$C$2:$C$62,A5,Directorio!$B$2:$B$62,"Derecho Parlamentario")</f>
        <v/>
      </c>
      <c r="F5" s="9">
        <f>COUNTIFS(Directorio!$C$2:$C$62,A5,Directorio!$B$2:$B$62,"Maestría DATESP")</f>
        <v/>
      </c>
      <c r="G5" s="9">
        <f>COUNTIFS(Directorio!$C$2:$C$62,A5,Directorio!$B$2:$B$62,"Ambos")</f>
        <v/>
      </c>
    </row>
    <row r="6">
      <c r="A6" s="9" t="inlineStr">
        <is>
          <t>Derechos humanos</t>
        </is>
      </c>
      <c r="B6" s="9">
        <f>COUNTIF(Directorio!$C$2:$C$62,A6)</f>
        <v/>
      </c>
      <c r="C6" s="9">
        <f>COUNTIFS(Directorio!$C$2:$C$62,A6,Directorio!$I$2:$I$62,"?*")</f>
        <v/>
      </c>
      <c r="D6" s="9">
        <f>COUNTIFS(Directorio!$C$2:$C$62,A6,Directorio!$D$2:$D$62,"Alta")</f>
        <v/>
      </c>
      <c r="E6" s="9">
        <f>COUNTIFS(Directorio!$C$2:$C$62,A6,Directorio!$B$2:$B$62,"Derecho Parlamentario")</f>
        <v/>
      </c>
      <c r="F6" s="9">
        <f>COUNTIFS(Directorio!$C$2:$C$62,A6,Directorio!$B$2:$B$62,"Maestría DATESP")</f>
        <v/>
      </c>
      <c r="G6" s="9">
        <f>COUNTIFS(Directorio!$C$2:$C$62,A6,Directorio!$B$2:$B$62,"Ambos")</f>
        <v/>
      </c>
    </row>
    <row r="7">
      <c r="A7" s="9" t="inlineStr">
        <is>
          <t>Ejecutivo estatal</t>
        </is>
      </c>
      <c r="B7" s="9">
        <f>COUNTIF(Directorio!$C$2:$C$62,A7)</f>
        <v/>
      </c>
      <c r="C7" s="9">
        <f>COUNTIFS(Directorio!$C$2:$C$62,A7,Directorio!$I$2:$I$62,"?*")</f>
        <v/>
      </c>
      <c r="D7" s="9">
        <f>COUNTIFS(Directorio!$C$2:$C$62,A7,Directorio!$D$2:$D$62,"Alta")</f>
        <v/>
      </c>
      <c r="E7" s="9">
        <f>COUNTIFS(Directorio!$C$2:$C$62,A7,Directorio!$B$2:$B$62,"Derecho Parlamentario")</f>
        <v/>
      </c>
      <c r="F7" s="9">
        <f>COUNTIFS(Directorio!$C$2:$C$62,A7,Directorio!$B$2:$B$62,"Maestría DATESP")</f>
        <v/>
      </c>
      <c r="G7" s="9">
        <f>COUNTIFS(Directorio!$C$2:$C$62,A7,Directorio!$B$2:$B$62,"Ambos")</f>
        <v/>
      </c>
    </row>
    <row r="8">
      <c r="A8" s="9" t="inlineStr">
        <is>
          <t>Fiscalización</t>
        </is>
      </c>
      <c r="B8" s="9">
        <f>COUNTIF(Directorio!$C$2:$C$62,A8)</f>
        <v/>
      </c>
      <c r="C8" s="9">
        <f>COUNTIFS(Directorio!$C$2:$C$62,A8,Directorio!$I$2:$I$62,"?*")</f>
        <v/>
      </c>
      <c r="D8" s="9">
        <f>COUNTIFS(Directorio!$C$2:$C$62,A8,Directorio!$D$2:$D$62,"Alta")</f>
        <v/>
      </c>
      <c r="E8" s="9">
        <f>COUNTIFS(Directorio!$C$2:$C$62,A8,Directorio!$B$2:$B$62,"Derecho Parlamentario")</f>
        <v/>
      </c>
      <c r="F8" s="9">
        <f>COUNTIFS(Directorio!$C$2:$C$62,A8,Directorio!$B$2:$B$62,"Maestría DATESP")</f>
        <v/>
      </c>
      <c r="G8" s="9">
        <f>COUNTIFS(Directorio!$C$2:$C$62,A8,Directorio!$B$2:$B$62,"Ambos")</f>
        <v/>
      </c>
    </row>
    <row r="9">
      <c r="A9" s="9" t="inlineStr">
        <is>
          <t>Formación policial</t>
        </is>
      </c>
      <c r="B9" s="9">
        <f>COUNTIF(Directorio!$C$2:$C$62,A9)</f>
        <v/>
      </c>
      <c r="C9" s="9">
        <f>COUNTIFS(Directorio!$C$2:$C$62,A9,Directorio!$I$2:$I$62,"?*")</f>
        <v/>
      </c>
      <c r="D9" s="9">
        <f>COUNTIFS(Directorio!$C$2:$C$62,A9,Directorio!$D$2:$D$62,"Alta")</f>
        <v/>
      </c>
      <c r="E9" s="9">
        <f>COUNTIFS(Directorio!$C$2:$C$62,A9,Directorio!$B$2:$B$62,"Derecho Parlamentario")</f>
        <v/>
      </c>
      <c r="F9" s="9">
        <f>COUNTIFS(Directorio!$C$2:$C$62,A9,Directorio!$B$2:$B$62,"Maestría DATESP")</f>
        <v/>
      </c>
      <c r="G9" s="9">
        <f>COUNTIFS(Directorio!$C$2:$C$62,A9,Directorio!$B$2:$B$62,"Ambos")</f>
        <v/>
      </c>
    </row>
    <row r="10">
      <c r="A10" s="9" t="inlineStr">
        <is>
          <t>Justicia</t>
        </is>
      </c>
      <c r="B10" s="9">
        <f>COUNTIF(Directorio!$C$2:$C$62,A10)</f>
        <v/>
      </c>
      <c r="C10" s="9">
        <f>COUNTIFS(Directorio!$C$2:$C$62,A10,Directorio!$I$2:$I$62,"?*")</f>
        <v/>
      </c>
      <c r="D10" s="9">
        <f>COUNTIFS(Directorio!$C$2:$C$62,A10,Directorio!$D$2:$D$62,"Alta")</f>
        <v/>
      </c>
      <c r="E10" s="9">
        <f>COUNTIFS(Directorio!$C$2:$C$62,A10,Directorio!$B$2:$B$62,"Derecho Parlamentario")</f>
        <v/>
      </c>
      <c r="F10" s="9">
        <f>COUNTIFS(Directorio!$C$2:$C$62,A10,Directorio!$B$2:$B$62,"Maestría DATESP")</f>
        <v/>
      </c>
      <c r="G10" s="9">
        <f>COUNTIFS(Directorio!$C$2:$C$62,A10,Directorio!$B$2:$B$62,"Ambos")</f>
        <v/>
      </c>
    </row>
    <row r="11">
      <c r="A11" s="9" t="inlineStr">
        <is>
          <t>Legislativo</t>
        </is>
      </c>
      <c r="B11" s="9">
        <f>COUNTIF(Directorio!$C$2:$C$62,A11)</f>
        <v/>
      </c>
      <c r="C11" s="9">
        <f>COUNTIFS(Directorio!$C$2:$C$62,A11,Directorio!$I$2:$I$62,"?*")</f>
        <v/>
      </c>
      <c r="D11" s="9">
        <f>COUNTIFS(Directorio!$C$2:$C$62,A11,Directorio!$D$2:$D$62,"Alta")</f>
        <v/>
      </c>
      <c r="E11" s="9">
        <f>COUNTIFS(Directorio!$C$2:$C$62,A11,Directorio!$B$2:$B$62,"Derecho Parlamentario")</f>
        <v/>
      </c>
      <c r="F11" s="9">
        <f>COUNTIFS(Directorio!$C$2:$C$62,A11,Directorio!$B$2:$B$62,"Maestría DATESP")</f>
        <v/>
      </c>
      <c r="G11" s="9">
        <f>COUNTIFS(Directorio!$C$2:$C$62,A11,Directorio!$B$2:$B$62,"Ambos")</f>
        <v/>
      </c>
    </row>
    <row r="12">
      <c r="A12" s="9" t="inlineStr">
        <is>
          <t>Medio ambiente estatal</t>
        </is>
      </c>
      <c r="B12" s="9">
        <f>COUNTIF(Directorio!$C$2:$C$62,A12)</f>
        <v/>
      </c>
      <c r="C12" s="9">
        <f>COUNTIFS(Directorio!$C$2:$C$62,A12,Directorio!$I$2:$I$62,"?*")</f>
        <v/>
      </c>
      <c r="D12" s="9">
        <f>COUNTIFS(Directorio!$C$2:$C$62,A12,Directorio!$D$2:$D$62,"Alta")</f>
        <v/>
      </c>
      <c r="E12" s="9">
        <f>COUNTIFS(Directorio!$C$2:$C$62,A12,Directorio!$B$2:$B$62,"Derecho Parlamentario")</f>
        <v/>
      </c>
      <c r="F12" s="9">
        <f>COUNTIFS(Directorio!$C$2:$C$62,A12,Directorio!$B$2:$B$62,"Maestría DATESP")</f>
        <v/>
      </c>
      <c r="G12" s="9">
        <f>COUNTIFS(Directorio!$C$2:$C$62,A12,Directorio!$B$2:$B$62,"Ambos")</f>
        <v/>
      </c>
    </row>
    <row r="13">
      <c r="A13" s="9" t="inlineStr">
        <is>
          <t>Medio ambiente federal</t>
        </is>
      </c>
      <c r="B13" s="9">
        <f>COUNTIF(Directorio!$C$2:$C$62,A13)</f>
        <v/>
      </c>
      <c r="C13" s="9">
        <f>COUNTIFS(Directorio!$C$2:$C$62,A13,Directorio!$I$2:$I$62,"?*")</f>
        <v/>
      </c>
      <c r="D13" s="9">
        <f>COUNTIFS(Directorio!$C$2:$C$62,A13,Directorio!$D$2:$D$62,"Alta")</f>
        <v/>
      </c>
      <c r="E13" s="9">
        <f>COUNTIFS(Directorio!$C$2:$C$62,A13,Directorio!$B$2:$B$62,"Derecho Parlamentario")</f>
        <v/>
      </c>
      <c r="F13" s="9">
        <f>COUNTIFS(Directorio!$C$2:$C$62,A13,Directorio!$B$2:$B$62,"Maestría DATESP")</f>
        <v/>
      </c>
      <c r="G13" s="9">
        <f>COUNTIFS(Directorio!$C$2:$C$62,A13,Directorio!$B$2:$B$62,"Ambos")</f>
        <v/>
      </c>
    </row>
    <row r="14">
      <c r="A14" s="9" t="inlineStr">
        <is>
          <t>Medio ambiente municipal</t>
        </is>
      </c>
      <c r="B14" s="9">
        <f>COUNTIF(Directorio!$C$2:$C$62,A14)</f>
        <v/>
      </c>
      <c r="C14" s="9">
        <f>COUNTIFS(Directorio!$C$2:$C$62,A14,Directorio!$I$2:$I$62,"?*")</f>
        <v/>
      </c>
      <c r="D14" s="9">
        <f>COUNTIFS(Directorio!$C$2:$C$62,A14,Directorio!$D$2:$D$62,"Alta")</f>
        <v/>
      </c>
      <c r="E14" s="9">
        <f>COUNTIFS(Directorio!$C$2:$C$62,A14,Directorio!$B$2:$B$62,"Derecho Parlamentario")</f>
        <v/>
      </c>
      <c r="F14" s="9">
        <f>COUNTIFS(Directorio!$C$2:$C$62,A14,Directorio!$B$2:$B$62,"Maestría DATESP")</f>
        <v/>
      </c>
      <c r="G14" s="9">
        <f>COUNTIFS(Directorio!$C$2:$C$62,A14,Directorio!$B$2:$B$62,"Ambos")</f>
        <v/>
      </c>
    </row>
    <row r="15">
      <c r="A15" s="9" t="inlineStr">
        <is>
          <t>Municipal</t>
        </is>
      </c>
      <c r="B15" s="9">
        <f>COUNTIF(Directorio!$C$2:$C$62,A15)</f>
        <v/>
      </c>
      <c r="C15" s="9">
        <f>COUNTIFS(Directorio!$C$2:$C$62,A15,Directorio!$I$2:$I$62,"?*")</f>
        <v/>
      </c>
      <c r="D15" s="9">
        <f>COUNTIFS(Directorio!$C$2:$C$62,A15,Directorio!$D$2:$D$62,"Alta")</f>
        <v/>
      </c>
      <c r="E15" s="9">
        <f>COUNTIFS(Directorio!$C$2:$C$62,A15,Directorio!$B$2:$B$62,"Derecho Parlamentario")</f>
        <v/>
      </c>
      <c r="F15" s="9">
        <f>COUNTIFS(Directorio!$C$2:$C$62,A15,Directorio!$B$2:$B$62,"Maestría DATESP")</f>
        <v/>
      </c>
      <c r="G15" s="9">
        <f>COUNTIFS(Directorio!$C$2:$C$62,A15,Directorio!$B$2:$B$62,"Ambos")</f>
        <v/>
      </c>
    </row>
    <row r="16">
      <c r="A16" s="9" t="inlineStr">
        <is>
          <t>Procuración de justicia</t>
        </is>
      </c>
      <c r="B16" s="9">
        <f>COUNTIF(Directorio!$C$2:$C$62,A16)</f>
        <v/>
      </c>
      <c r="C16" s="9">
        <f>COUNTIFS(Directorio!$C$2:$C$62,A16,Directorio!$I$2:$I$62,"?*")</f>
        <v/>
      </c>
      <c r="D16" s="9">
        <f>COUNTIFS(Directorio!$C$2:$C$62,A16,Directorio!$D$2:$D$62,"Alta")</f>
        <v/>
      </c>
      <c r="E16" s="9">
        <f>COUNTIFS(Directorio!$C$2:$C$62,A16,Directorio!$B$2:$B$62,"Derecho Parlamentario")</f>
        <v/>
      </c>
      <c r="F16" s="9">
        <f>COUNTIFS(Directorio!$C$2:$C$62,A16,Directorio!$B$2:$B$62,"Maestría DATESP")</f>
        <v/>
      </c>
      <c r="G16" s="9">
        <f>COUNTIFS(Directorio!$C$2:$C$62,A16,Directorio!$B$2:$B$62,"Ambos")</f>
        <v/>
      </c>
    </row>
    <row r="17">
      <c r="A17" s="9" t="inlineStr">
        <is>
          <t>Seguridad estatal</t>
        </is>
      </c>
      <c r="B17" s="9">
        <f>COUNTIF(Directorio!$C$2:$C$62,A17)</f>
        <v/>
      </c>
      <c r="C17" s="9">
        <f>COUNTIFS(Directorio!$C$2:$C$62,A17,Directorio!$I$2:$I$62,"?*")</f>
        <v/>
      </c>
      <c r="D17" s="9">
        <f>COUNTIFS(Directorio!$C$2:$C$62,A17,Directorio!$D$2:$D$62,"Alta")</f>
        <v/>
      </c>
      <c r="E17" s="9">
        <f>COUNTIFS(Directorio!$C$2:$C$62,A17,Directorio!$B$2:$B$62,"Derecho Parlamentario")</f>
        <v/>
      </c>
      <c r="F17" s="9">
        <f>COUNTIFS(Directorio!$C$2:$C$62,A17,Directorio!$B$2:$B$62,"Maestría DATESP")</f>
        <v/>
      </c>
      <c r="G17" s="9">
        <f>COUNTIFS(Directorio!$C$2:$C$62,A17,Directorio!$B$2:$B$62,"Ambos")</f>
        <v/>
      </c>
    </row>
    <row r="18">
      <c r="A18" s="9" t="inlineStr">
        <is>
          <t>Seguridad municipal</t>
        </is>
      </c>
      <c r="B18" s="9">
        <f>COUNTIF(Directorio!$C$2:$C$62,A18)</f>
        <v/>
      </c>
      <c r="C18" s="9">
        <f>COUNTIFS(Directorio!$C$2:$C$62,A18,Directorio!$I$2:$I$62,"?*")</f>
        <v/>
      </c>
      <c r="D18" s="9">
        <f>COUNTIFS(Directorio!$C$2:$C$62,A18,Directorio!$D$2:$D$62,"Alta")</f>
        <v/>
      </c>
      <c r="E18" s="9">
        <f>COUNTIFS(Directorio!$C$2:$C$62,A18,Directorio!$B$2:$B$62,"Derecho Parlamentario")</f>
        <v/>
      </c>
      <c r="F18" s="9">
        <f>COUNTIFS(Directorio!$C$2:$C$62,A18,Directorio!$B$2:$B$62,"Maestría DATESP")</f>
        <v/>
      </c>
      <c r="G18" s="9">
        <f>COUNTIFS(Directorio!$C$2:$C$62,A18,Directorio!$B$2:$B$62,"Ambos")</f>
        <v/>
      </c>
    </row>
    <row r="19">
      <c r="A19" s="9" t="inlineStr">
        <is>
          <t>Tecnología / Economía</t>
        </is>
      </c>
      <c r="B19" s="9">
        <f>COUNTIF(Directorio!$C$2:$C$62,A19)</f>
        <v/>
      </c>
      <c r="C19" s="9">
        <f>COUNTIFS(Directorio!$C$2:$C$62,A19,Directorio!$I$2:$I$62,"?*")</f>
        <v/>
      </c>
      <c r="D19" s="9">
        <f>COUNTIFS(Directorio!$C$2:$C$62,A19,Directorio!$D$2:$D$62,"Alta")</f>
        <v/>
      </c>
      <c r="E19" s="9">
        <f>COUNTIFS(Directorio!$C$2:$C$62,A19,Directorio!$B$2:$B$62,"Derecho Parlamentario")</f>
        <v/>
      </c>
      <c r="F19" s="9">
        <f>COUNTIFS(Directorio!$C$2:$C$62,A19,Directorio!$B$2:$B$62,"Maestría DATESP")</f>
        <v/>
      </c>
      <c r="G19" s="9">
        <f>COUNTIFS(Directorio!$C$2:$C$62,A19,Directorio!$B$2:$B$62,"Ambos")</f>
        <v/>
      </c>
    </row>
    <row r="20">
      <c r="A20" s="9" t="inlineStr">
        <is>
          <t>Órganos autónomos</t>
        </is>
      </c>
      <c r="B20" s="9">
        <f>COUNTIF(Directorio!$C$2:$C$62,A20)</f>
        <v/>
      </c>
      <c r="C20" s="9">
        <f>COUNTIFS(Directorio!$C$2:$C$62,A20,Directorio!$I$2:$I$62,"?*")</f>
        <v/>
      </c>
      <c r="D20" s="9">
        <f>COUNTIFS(Directorio!$C$2:$C$62,A20,Directorio!$D$2:$D$62,"Alta")</f>
        <v/>
      </c>
      <c r="E20" s="9">
        <f>COUNTIFS(Directorio!$C$2:$C$62,A20,Directorio!$B$2:$B$62,"Derecho Parlamentario")</f>
        <v/>
      </c>
      <c r="F20" s="9">
        <f>COUNTIFS(Directorio!$C$2:$C$62,A20,Directorio!$B$2:$B$62,"Maestría DATESP")</f>
        <v/>
      </c>
      <c r="G20" s="9">
        <f>COUNTIFS(Directorio!$C$2:$C$62,A20,Directorio!$B$2:$B$62,"Ambos")</f>
        <v/>
      </c>
    </row>
    <row r="21">
      <c r="A21" s="10" t="inlineStr">
        <is>
          <t>TOTAL</t>
        </is>
      </c>
      <c r="B21" s="10">
        <f>SUM(B2:B20)</f>
        <v/>
      </c>
      <c r="C21" s="10">
        <f>SUM(C2:C20)</f>
        <v/>
      </c>
      <c r="D21" s="10">
        <f>SUM(D2:D20)</f>
        <v/>
      </c>
      <c r="E21" s="10">
        <f>SUM(E2:E20)</f>
        <v/>
      </c>
      <c r="F21" s="10">
        <f>SUM(F2:F20)</f>
        <v/>
      </c>
      <c r="G21" s="10">
        <f>SUM(G2:G20)</f>
        <v/>
      </c>
    </row>
    <row r="23">
      <c r="A23" s="11" t="inlineStr">
        <is>
          <t>Nota: 'Ambos' = contacto útil para los cursos de Derecho Parlamentario y para la Maestría.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60" customWidth="1" min="3" max="3"/>
    <col width="50" customWidth="1" min="4" max="4"/>
    <col width="18" customWidth="1" min="5" max="5"/>
    <col width="15" customWidth="1" min="6" max="6"/>
  </cols>
  <sheetData>
    <row r="1">
      <c r="A1" s="8" t="inlineStr">
        <is>
          <t>Segmento</t>
        </is>
      </c>
      <c r="B1" s="8" t="inlineStr">
        <is>
          <t>Institución / grupo</t>
        </is>
      </c>
      <c r="C1" s="8" t="inlineStr">
        <is>
          <t>Qué falta conseguir</t>
        </is>
      </c>
      <c r="D1" s="8" t="inlineStr">
        <is>
          <t>Dónde buscar</t>
        </is>
      </c>
      <c r="E1" s="8" t="inlineStr">
        <is>
          <t>Responsable</t>
        </is>
      </c>
      <c r="F1" s="8" t="inlineStr">
        <is>
          <t>Estatus</t>
        </is>
      </c>
    </row>
    <row r="2">
      <c r="A2" s="5" t="inlineStr">
        <is>
          <t>Legislativo</t>
        </is>
      </c>
      <c r="B2" s="5" t="inlineStr">
        <is>
          <t>Congreso de Coahuila</t>
        </is>
      </c>
      <c r="C2" s="5" t="inlineStr">
        <is>
          <t>Correo y extensión de cada uno de los 25 diputados (y diputados electos 2027)</t>
        </is>
      </c>
      <c r="D2" s="5" t="inlineStr">
        <is>
          <t>congresocoahuila.gob.mx/portal/diputados/</t>
        </is>
      </c>
      <c r="E2" s="7" t="inlineStr"/>
      <c r="F2" s="7" t="inlineStr"/>
    </row>
    <row r="3">
      <c r="A3" s="5" t="inlineStr">
        <is>
          <t>Legislativo</t>
        </is>
      </c>
      <c r="B3" s="5" t="inlineStr">
        <is>
          <t>Congreso de Coahuila</t>
        </is>
      </c>
      <c r="C3" s="5" t="inlineStr">
        <is>
          <t>Secretaría de Servicios Parlamentarios, Unidad de Transparencia, área de RR. HH.</t>
        </is>
      </c>
      <c r="D3" s="5" t="inlineStr">
        <is>
          <t>congresocoahuila.gob.mx → Información pública de oficio</t>
        </is>
      </c>
      <c r="E3" s="7" t="inlineStr"/>
      <c r="F3" s="7" t="inlineStr"/>
    </row>
    <row r="4">
      <c r="A4" s="5" t="inlineStr">
        <is>
          <t>Legislativo</t>
        </is>
      </c>
      <c r="B4" s="5" t="inlineStr">
        <is>
          <t>Diputados federales y senadores por Coahuila</t>
        </is>
      </c>
      <c r="C4" s="5" t="inlineStr">
        <is>
          <t>Correos institucionales</t>
        </is>
      </c>
      <c r="D4" s="5" t="inlineStr">
        <is>
          <t>diputados.gob.mx / senado.gob.mx</t>
        </is>
      </c>
      <c r="E4" s="7" t="inlineStr"/>
      <c r="F4" s="7" t="inlineStr"/>
    </row>
    <row r="5">
      <c r="A5" s="5" t="inlineStr">
        <is>
          <t>Municipal</t>
        </is>
      </c>
      <c r="B5" s="5" t="inlineStr">
        <is>
          <t>38 ayuntamientos</t>
        </is>
      </c>
      <c r="C5" s="5" t="inlineStr">
        <is>
          <t>Regidores, síndicos, secretario del ayuntamiento, director jurídico</t>
        </is>
      </c>
      <c r="D5" s="5" t="inlineStr">
        <is>
          <t>Sitio de cada municipio y Coahuila Transparente</t>
        </is>
      </c>
      <c r="E5" s="7" t="inlineStr"/>
      <c r="F5" s="7" t="inlineStr"/>
    </row>
    <row r="6">
      <c r="A6" s="5" t="inlineStr">
        <is>
          <t>Ejecutivo estatal</t>
        </is>
      </c>
      <c r="B6" s="5" t="inlineStr">
        <is>
          <t>Consejería Jurídica del Estado</t>
        </is>
      </c>
      <c r="C6" s="5" t="inlineStr">
        <is>
          <t>Titular y correo</t>
        </is>
      </c>
      <c r="D6" s="5" t="inlineStr">
        <is>
          <t>coahuila.gob.mx/directorio</t>
        </is>
      </c>
      <c r="E6" s="7" t="inlineStr"/>
      <c r="F6" s="7" t="inlineStr"/>
    </row>
    <row r="7">
      <c r="A7" s="5" t="inlineStr">
        <is>
          <t>Seguridad estatal</t>
        </is>
      </c>
      <c r="B7" s="5" t="inlineStr">
        <is>
          <t>SSP Coahuila</t>
        </is>
      </c>
      <c r="C7" s="5" t="inlineStr">
        <is>
          <t>Dirección de Profesionalización / Carrera Policial</t>
        </is>
      </c>
      <c r="D7" s="5" t="inlineStr">
        <is>
          <t>sspcoahuila.gob.mx/directorioSSP.html</t>
        </is>
      </c>
      <c r="E7" s="7" t="inlineStr"/>
      <c r="F7" s="7" t="inlineStr"/>
    </row>
    <row r="8">
      <c r="A8" s="5" t="inlineStr">
        <is>
          <t>Seguridad</t>
        </is>
      </c>
      <c r="B8" s="5" t="inlineStr">
        <is>
          <t>C4/C5 estatal</t>
        </is>
      </c>
      <c r="C8" s="5" t="inlineStr">
        <is>
          <t>Área administrativa y de capacitación</t>
        </is>
      </c>
      <c r="D8" s="5" t="inlineStr">
        <is>
          <t>SSP Coahuila / Secretariado Ejecutivo</t>
        </is>
      </c>
      <c r="E8" s="7" t="inlineStr"/>
      <c r="F8" s="7" t="inlineStr"/>
    </row>
    <row r="9">
      <c r="A9" s="5" t="inlineStr">
        <is>
          <t>Seguridad municipal</t>
        </is>
      </c>
      <c r="B9" s="5" t="inlineStr">
        <is>
          <t>Monclova, Piedras Negras, Acuña, Ramos Arizpe, Matamoros, San Pedro, Frontera, Sabinas</t>
        </is>
      </c>
      <c r="C9" s="5" t="inlineStr">
        <is>
          <t>Directores de seguridad pública municipal</t>
        </is>
      </c>
      <c r="D9" s="5" t="inlineStr">
        <is>
          <t>Sitios municipales</t>
        </is>
      </c>
      <c r="E9" s="7" t="inlineStr"/>
      <c r="F9" s="7" t="inlineStr"/>
    </row>
    <row r="10">
      <c r="A10" s="5" t="inlineStr">
        <is>
          <t>Procuración de justicia</t>
        </is>
      </c>
      <c r="B10" s="5" t="inlineStr">
        <is>
          <t>Fiscalía General del Estado</t>
        </is>
      </c>
      <c r="C10" s="5" t="inlineStr">
        <is>
          <t>Centro de Profesionalización, Acreditación, Certificación y Carrera; fiscalía de delitos ambientales</t>
        </is>
      </c>
      <c r="D10" s="5" t="inlineStr">
        <is>
          <t>sitio.fgecoahuila.gob.mx</t>
        </is>
      </c>
      <c r="E10" s="7" t="inlineStr"/>
      <c r="F10" s="7" t="inlineStr"/>
    </row>
    <row r="11">
      <c r="A11" s="5" t="inlineStr">
        <is>
          <t>Justicia</t>
        </is>
      </c>
      <c r="B11" s="5" t="inlineStr">
        <is>
          <t>Defensoría Jurídica / Defensoría Pública</t>
        </is>
      </c>
      <c r="C11" s="5" t="inlineStr">
        <is>
          <t>Área de capacitación</t>
        </is>
      </c>
      <c r="D11" s="5" t="inlineStr">
        <is>
          <t>coahuila.gob.mx/directorio</t>
        </is>
      </c>
      <c r="E11" s="7" t="inlineStr"/>
      <c r="F11" s="7" t="inlineStr"/>
    </row>
    <row r="12">
      <c r="A12" s="5" t="inlineStr">
        <is>
          <t>Empresas</t>
        </is>
      </c>
      <c r="B12" s="5" t="inlineStr">
        <is>
          <t>Armadoras y proveedores automotrices (Saltillo–Ramos Arizpe–Derramadero)</t>
        </is>
      </c>
      <c r="C12" s="5" t="inlineStr">
        <is>
          <t>Gerentes EHS, Legal/Compliance, Seguridad patrimonial, RR. HH./Capacitación</t>
        </is>
      </c>
      <c r="D12" s="5" t="inlineStr">
        <is>
          <t>LinkedIn de la empresa + CIAC</t>
        </is>
      </c>
      <c r="E12" s="7" t="inlineStr"/>
      <c r="F12" s="7" t="inlineStr"/>
    </row>
    <row r="13">
      <c r="A13" s="5" t="inlineStr">
        <is>
          <t>Empresas</t>
        </is>
      </c>
      <c r="B13" s="5" t="inlineStr">
        <is>
          <t>Minero-metalúrgicas y acereras (Torreón, Monclova, región Carbonífera)</t>
        </is>
      </c>
      <c r="C13" s="5" t="inlineStr">
        <is>
          <t>Gerentes de medio ambiente, seguridad, legal</t>
        </is>
      </c>
      <c r="D13" s="5" t="inlineStr">
        <is>
          <t>LinkedIn + Clúster de Energía/Minero</t>
        </is>
      </c>
      <c r="E13" s="7" t="inlineStr"/>
      <c r="F13" s="7" t="inlineStr"/>
    </row>
    <row r="14">
      <c r="A14" s="5" t="inlineStr">
        <is>
          <t>Empresas</t>
        </is>
      </c>
      <c r="B14" s="5" t="inlineStr">
        <is>
          <t>Agroindustria y lácteos (La Laguna)</t>
        </is>
      </c>
      <c r="C14" s="5" t="inlineStr">
        <is>
          <t>Gerentes de sustentabilidad, agua, legal</t>
        </is>
      </c>
      <c r="D14" s="5" t="inlineStr">
        <is>
          <t>LinkedIn + CANACINTRA Torreón</t>
        </is>
      </c>
      <c r="E14" s="7" t="inlineStr"/>
      <c r="F14" s="7" t="inlineStr"/>
    </row>
    <row r="15">
      <c r="A15" s="5" t="inlineStr">
        <is>
          <t>Empresas</t>
        </is>
      </c>
      <c r="B15" s="5" t="inlineStr">
        <is>
          <t>Energía y renovables</t>
        </is>
      </c>
      <c r="C15" s="5" t="inlineStr">
        <is>
          <t>Gerentes de permisos ambientales y cumplimiento</t>
        </is>
      </c>
      <c r="D15" s="5" t="inlineStr">
        <is>
          <t>Clúster de Energía Coahuila</t>
        </is>
      </c>
      <c r="E15" s="7" t="inlineStr"/>
      <c r="F15" s="7" t="inlineStr"/>
    </row>
    <row r="16">
      <c r="A16" s="5" t="inlineStr">
        <is>
          <t>Gremios</t>
        </is>
      </c>
      <c r="B16" s="5" t="inlineStr">
        <is>
          <t>Colegios y barras de abogados de Coahuila</t>
        </is>
      </c>
      <c r="C16" s="5" t="inlineStr">
        <is>
          <t>Correo institucional de la mesa directiva (no correos personales)</t>
        </is>
      </c>
      <c r="D16" s="5" t="inlineStr">
        <is>
          <t>Federación de Colegios de Abogados de Coahuila, Barra Mexicana – Capítulo Coahuila</t>
        </is>
      </c>
      <c r="E16" s="7" t="inlineStr"/>
      <c r="F16" s="7" t="inlineStr"/>
    </row>
    <row r="17">
      <c r="A17" s="5" t="inlineStr">
        <is>
          <t>Gremios</t>
        </is>
      </c>
      <c r="B17" s="5" t="inlineStr">
        <is>
          <t>CANIETI / empresas de TI</t>
        </is>
      </c>
      <c r="C17" s="5" t="inlineStr">
        <is>
          <t>Contacto regional</t>
        </is>
      </c>
      <c r="D17" s="5" t="inlineStr">
        <is>
          <t>canieti.org</t>
        </is>
      </c>
      <c r="E17" s="7" t="inlineStr"/>
      <c r="F17" s="7" t="inlineStr"/>
    </row>
    <row r="18">
      <c r="A18" s="5" t="inlineStr">
        <is>
          <t>Gremios</t>
        </is>
      </c>
      <c r="B18" s="5" t="inlineStr">
        <is>
          <t>Consejo Coordinador Empresarial Laguna</t>
        </is>
      </c>
      <c r="C18" s="5" t="inlineStr">
        <is>
          <t>Correo y teléfono</t>
        </is>
      </c>
      <c r="D18" s="5" t="inlineStr">
        <is>
          <t>cce.org.mx / redes sociales</t>
        </is>
      </c>
      <c r="E18" s="7" t="inlineStr"/>
      <c r="F18" s="7" t="inlineStr"/>
    </row>
    <row r="19">
      <c r="A19" s="5" t="inlineStr">
        <is>
          <t>Seguridad privada</t>
        </is>
      </c>
      <c r="B19" s="5" t="inlineStr">
        <is>
          <t>Empresas de seguridad privada autorizadas</t>
        </is>
      </c>
      <c r="C19" s="5" t="inlineStr">
        <is>
          <t>Directores y RR. HH.</t>
        </is>
      </c>
      <c r="D19" s="5" t="inlineStr">
        <is>
          <t>Padrón de la SSP Coahuila (RETYS)</t>
        </is>
      </c>
      <c r="E19" s="7" t="inlineStr"/>
      <c r="F1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2026-09-30T22:36:51Z</dcterms:created>
  <dcterms:modified xsi:type="dcterms:W3CDTF">2026-09-30T22:36:51Z</dcterms:modified>
</cp:coreProperties>
</file>